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75151bee1b646bd" /></Relationships>
</file>

<file path=xl/workbook.xml><?xml version="1.0" encoding="utf-8"?>
<x:workbook xmlns:x="http://schemas.openxmlformats.org/spreadsheetml/2006/main">
  <x:sheets>
    <x:sheet xmlns:r="http://schemas.openxmlformats.org/officeDocument/2006/relationships" name="Customer tests" sheetId="1" r:id="R1f58a1e04d37490a"/>
    <x:sheet xmlns:r="http://schemas.openxmlformats.org/officeDocument/2006/relationships" name="Guide and setup" sheetId="2" r:id="Rb5a22df3abe544b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 mmm yyyy"/>
  </x:numFmts>
  <x:fonts count="7">
    <x:font>
      <x:sz val="11"/>
      <x:name val="Carlito"/>
    </x:font>
    <x:font>
      <x:sz val="11"/>
      <x:color rgb="FF252525"/>
      <x:name val="Arial"/>
    </x:font>
    <x:font>
      <x:b/>
      <x:sz val="16"/>
      <x:color rgb="FF252525"/>
      <x:name val="Arial"/>
    </x:font>
    <x:font>
      <x:b/>
      <x:sz val="12"/>
      <x:color rgb="FF252525"/>
      <x:name val="Arial"/>
    </x:font>
    <x:font>
      <x:i/>
      <x:sz val="11"/>
      <x:color rgb="FF59616C"/>
      <x:name val="Arial"/>
    </x:font>
    <x:font>
      <x:b/>
      <x:sz val="11"/>
      <x:color rgb="FFFFFFFF"/>
      <x:name val="Arial"/>
    </x:font>
    <x:font>
      <x:b/>
      <x:sz val="11"/>
      <x:color rgb="FF252525"/>
      <x:name val="Arial"/>
    </x:font>
  </x:fonts>
  <x:fills count="7">
    <x:fill>
      <x:patternFill patternType="none"/>
    </x:fill>
    <x:fill>
      <x:patternFill patternType="gray125"/>
    </x:fill>
    <x:fill>
      <x:patternFill patternType="solid">
        <x:fgColor rgb="FFF4ECDC"/>
      </x:patternFill>
    </x:fill>
    <x:fill>
      <x:patternFill patternType="solid">
        <x:fgColor rgb="FF252525"/>
      </x:patternFill>
    </x:fill>
    <x:fill>
      <x:patternFill patternType="solid">
        <x:fgColor rgb="FFFFFFFF"/>
      </x:patternFill>
    </x:fill>
    <x:fill>
      <x:patternFill patternType="solid">
        <x:fgColor rgb="FFF4F5F6"/>
      </x:patternFill>
    </x:fill>
    <x:fill>
      <x:patternFill patternType="solid">
        <x:fgColor rgb="FFFFF4D8"/>
      </x:patternFill>
    </x:fill>
  </x:fills>
  <x:borders count="3">
    <x:border>
      <x:left/>
      <x:right/>
      <x:top/>
      <x:bottom/>
      <x:diagonal/>
    </x:border>
    <x:border>
      <x:left/>
      <x:right/>
      <x:top/>
      <x:bottom style="thin">
        <x:color rgb="FFA68135"/>
      </x:bottom>
      <x:diagonal/>
    </x:border>
    <x:border>
      <x:left/>
      <x:right/>
      <x:top style="medium">
        <x:color rgb="FFA68135"/>
      </x:top>
      <x:bottom/>
      <x:diagonal/>
    </x:border>
  </x:borders>
  <x:cellStyleXfs count="1">
    <x:xf numFmtId="0" fontId="0" fillId="0" borderId="0"/>
  </x:cellStyleXfs>
  <x:cellXfs count="28">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4" fillId="0" borderId="0" xfId="0" applyNumberFormat="1" applyFont="1" applyFill="1" applyBorder="1"/>
    <x:xf numFmtId="0" fontId="1"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horizontal="center" wrapText="1"/>
    </x:xf>
    <x:xf numFmtId="0" fontId="5" fillId="3"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4" borderId="0" xfId="0" applyNumberFormat="1" applyFont="1" applyFill="1" applyBorder="1" applyAlignment="1">
      <x:alignment wrapText="1"/>
    </x:xf>
    <x:xf numFmtId="0" fontId="1" fillId="4"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4" borderId="2"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1" fillId="6" borderId="2" xfId="0" applyNumberFormat="1" applyFont="1" applyFill="1" applyBorder="1" applyAlignment="1">
      <x:alignment vertical="top" wrapText="1"/>
    </x:xf>
    <x:xf numFmtId="0" fontId="1" fillId="6" borderId="0" xfId="0" applyNumberFormat="1" applyFont="1" applyFill="1" applyBorder="1" applyAlignment="1">
      <x:alignment vertical="top" wrapText="1"/>
    </x:xf>
    <x:xf numFmtId="200" fontId="1" fillId="6" borderId="2" xfId="0" applyNumberFormat="1" applyFont="1" applyFill="1" applyBorder="1" applyAlignment="1">
      <x:alignment vertical="top" wrapText="1"/>
    </x:xf>
    <x:xf numFmtId="200" fontId="1" fillId="6"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5" borderId="0" xfId="0" applyNumberFormat="1" applyFont="1" applyFill="1" applyBorder="1" applyAlignment="1">
      <x:alignment vertical="top" wrapText="1"/>
    </x:xf>
  </x:cellXfs>
  <x:cellStyles count="1">
    <x:cellStyle name="Normal" xfId="0"/>
  </x:cellStyles>
  <x:dxfs count="4">
    <x:dxf>
      <x:font>
        <x:b/>
        <x:color rgb="FFA3231C"/>
      </x:font>
      <x:fill>
        <x:patternFill patternType="solid">
          <x:bgColor rgb="FFFDE9E7"/>
        </x:patternFill>
      </x:fill>
    </x:dxf>
    <x:dxf>
      <x:font>
        <x:b/>
        <x:color rgb="FF7D4700"/>
      </x:font>
      <x:fill>
        <x:patternFill patternType="solid">
          <x:bgColor rgb="FFFFE6BA"/>
        </x:patternFill>
      </x:fill>
    </x:dxf>
    <x:dxf>
      <x:font>
        <x:b/>
        <x:color rgb="FF354E3C"/>
      </x:font>
      <x:fill>
        <x:patternFill patternType="solid">
          <x:bgColor rgb="FFECEFEC"/>
        </x:patternFill>
      </x:fill>
    </x:dxf>
    <x:dxf>
      <x:font>
        <x:b/>
        <x:color rgb="FF666666"/>
      </x:font>
      <x:fill>
        <x:patternFill patternType="solid">
          <x:bgColor rgb="FFEEEEE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078c0d16d241e2" /><Relationship Type="http://schemas.openxmlformats.org/officeDocument/2006/relationships/theme" Target="/xl/theme/theme1.xml" Id="R8a8723dc50234830" /><Relationship Type="http://schemas.openxmlformats.org/officeDocument/2006/relationships/sharedStrings" Target="/xl/sharedStrings.xml" Id="R82caeaccae934d71" /><Relationship Type="http://schemas.openxmlformats.org/officeDocument/2006/relationships/worksheet" Target="/xl/worksheets/sheet1.xml" Id="R1f58a1e04d37490a" /><Relationship Type="http://schemas.openxmlformats.org/officeDocument/2006/relationships/worksheet" Target="/xl/worksheets/sheet2.xml" Id="Rb5a22df3abe544bc" /></Relationships>
</file>

<file path=xl/tables/table1.xml><?xml version="1.0" encoding="utf-8"?>
<x:table xmlns:x="http://schemas.openxmlformats.org/spreadsheetml/2006/main" id="1" name="CustomerTestCases" displayName="CustomerTestCases" ref="A7:L147" headerRowCount="1" totalsRowCount="0" totalsRowShown="0">
  <x:autoFilter ref="A7:L147"/>
  <x:tableColumns count="12">
    <x:tableColumn id="1" name="Scenario ID"/>
    <x:tableColumn id="2" name="Area"/>
    <x:tableColumn id="3" name="Scenario"/>
    <x:tableColumn id="4" name="Priority"/>
    <x:tableColumn id="5" name="Setup / applicability"/>
    <x:tableColumn id="6" name="Test steps"/>
    <x:tableColumn id="7" name="Expected result"/>
    <x:tableColumn id="8" name="Actual result"/>
    <x:tableColumn id="9" name="Status"/>
    <x:tableColumn id="10" name="Evidence / issue link"/>
    <x:tableColumn id="11" name="Device / browser"/>
    <x:tableColumn id="12" name="Test dat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22cf885bf9641be" /></Relationships>
</file>

<file path=xl/worksheets/sheet1.xml><?xml version="1.0" encoding="utf-8"?>
<x:worksheet xmlns:x="http://schemas.openxmlformats.org/spreadsheetml/2006/main">
  <x:sheetPr>
    <x:tabColor rgb="FFA68135"/>
  </x:sheetPr>
  <x:sheetViews>
    <x:sheetView showGridLines="0" workbookViewId="0">
      <x:pane xSplit="3" ySplit="7" topLeftCell="D8" activePane="bottomRight" state="frozen"/>
    </x:sheetView>
  </x:sheetViews>
  <x:sheetFormatPr defaultRowHeight="15"/>
  <x:cols>
    <x:col min="1" max="1" width="16" hidden="0" customWidth="1"/>
    <x:col min="2" max="2" width="23" hidden="0" customWidth="1"/>
    <x:col min="3" max="3" width="33" hidden="0" customWidth="1"/>
    <x:col min="4" max="4" width="13" hidden="0" customWidth="1"/>
    <x:col min="5" max="5" width="40" hidden="0" customWidth="1"/>
    <x:col min="6" max="6" width="59" hidden="0" customWidth="1"/>
    <x:col min="7" max="7" width="62" hidden="0" customWidth="1"/>
    <x:col min="8" max="8" width="47" hidden="0" customWidth="1"/>
    <x:col min="9" max="9" width="15" hidden="0" customWidth="1"/>
    <x:col min="10" max="10" width="30" hidden="0" customWidth="1"/>
    <x:col min="11" max="11" width="24" hidden="0" customWidth="1"/>
    <x:col min="12" max="12" width="16" hidden="0" customWidth="1"/>
  </x:cols>
  <x:sheetData>
    <x:row r="1">
      <x:c r="A1" s="1"/>
      <x:c r="B1" s="1"/>
      <x:c r="C1" s="1"/>
      <x:c r="D1" s="1"/>
      <x:c r="E1" s="1"/>
      <x:c r="F1" s="1"/>
      <x:c r="G1" s="1"/>
      <x:c r="H1" s="1"/>
      <x:c r="I1" s="1"/>
      <x:c r="J1" s="1"/>
      <x:c r="K1" s="1"/>
      <x:c r="L1" s="1"/>
    </x:row>
    <x:row r="2">
      <x:c r="A2" s="2" t="str">
        <x:v>KAPTAN customer acceptance tests</x:v>
      </x:c>
      <x:c r="B2" s="1"/>
      <x:c r="C2" s="1"/>
      <x:c r="D2" s="1"/>
      <x:c r="E2" s="1"/>
      <x:c r="F2" s="1"/>
      <x:c r="G2" s="1"/>
      <x:c r="H2" s="1"/>
      <x:c r="I2" s="1"/>
      <x:c r="J2" s="1"/>
      <x:c r="K2" s="1"/>
      <x:c r="L2" s="1"/>
    </x:row>
    <x:row r="3">
      <x:c r="A3" s="3"/>
      <x:c r="B3" s="3"/>
      <x:c r="C3" s="3"/>
      <x:c r="D3" s="3"/>
      <x:c r="E3" s="3"/>
      <x:c r="F3" s="3"/>
      <x:c r="G3" s="3"/>
      <x:c r="H3" s="3"/>
      <x:c r="I3" s="3"/>
      <x:c r="J3" s="3"/>
      <x:c r="K3" s="3"/>
      <x:c r="L3" s="3"/>
    </x:row>
    <x:row r="4" ht="25" customHeight="1">
      <x:c r="A4" s="4" t="str">
        <x:v>Scenarios</x:v>
      </x:c>
      <x:c r="B4" s="6" t="n">
        <x:v>140</x:v>
      </x:c>
      <x:c r="C4" s="4" t="str">
        <x:v>Passed</x:v>
      </x:c>
      <x:c r="D4" s="6" t="n">
        <x:f>COUNTIFS(I8:I147,"Pass")</x:f>
        <x:v>0</x:v>
      </x:c>
      <x:c r="E4" s="4" t="str">
        <x:v>Failed</x:v>
      </x:c>
      <x:c r="F4" s="6" t="n">
        <x:f>COUNTIFS(I8:I147,"Fail")</x:f>
        <x:v>0</x:v>
      </x:c>
      <x:c r="G4" s="4" t="str">
        <x:v>Blocked</x:v>
      </x:c>
      <x:c r="H4" s="6" t="n">
        <x:f>COUNTIFS(I8:I147,"Blocked")</x:f>
        <x:v>0</x:v>
      </x:c>
      <x:c r="I4" s="4" t="str">
        <x:v>Not run</x:v>
      </x:c>
      <x:c r="J4" s="6" t="n">
        <x:f>COUNTIFS(I8:I147,"Not run")</x:f>
        <x:v>140</x:v>
      </x:c>
      <x:c r="K4" s="4" t="str">
        <x:v>N/A</x:v>
      </x:c>
      <x:c r="L4" s="6" t="n">
        <x:f>COUNTIFS(I8:I147,"N/A")</x:f>
        <x:v>0</x:v>
      </x:c>
    </x:row>
    <x:row r="5">
      <x:c r="A5" s="7" t="str">
        <x:v>Start with Guide and setup. Filter by area/priority. Fill amber cells after each test; all scenarios start untested.</x:v>
      </x:c>
      <x:c r="B5" s="1"/>
      <x:c r="C5" s="1"/>
      <x:c r="D5" s="1"/>
      <x:c r="E5" s="1"/>
      <x:c r="F5" s="1"/>
      <x:c r="G5" s="1"/>
      <x:c r="H5" s="1"/>
      <x:c r="I5" s="1"/>
      <x:c r="J5" s="1"/>
      <x:c r="K5" s="1"/>
      <x:c r="L5" s="1"/>
    </x:row>
    <x:row r="6">
      <x:c r="A6" s="1"/>
      <x:c r="B6" s="1"/>
      <x:c r="C6" s="1"/>
      <x:c r="D6" s="1"/>
      <x:c r="E6" s="1"/>
      <x:c r="F6" s="1"/>
      <x:c r="G6" s="1"/>
      <x:c r="H6" s="1"/>
      <x:c r="I6" s="1"/>
      <x:c r="J6" s="1"/>
      <x:c r="K6" s="1"/>
      <x:c r="L6" s="1"/>
    </x:row>
    <x:row r="7" ht="34" customHeight="1">
      <x:c r="A7" s="12" t="str">
        <x:v>Scenario ID</x:v>
      </x:c>
      <x:c r="B7" s="12" t="str">
        <x:v>Area</x:v>
      </x:c>
      <x:c r="C7" s="12" t="str">
        <x:v>Scenario</x:v>
      </x:c>
      <x:c r="D7" s="12" t="str">
        <x:v>Priority</x:v>
      </x:c>
      <x:c r="E7" s="12" t="str">
        <x:v>Setup / applicability</x:v>
      </x:c>
      <x:c r="F7" s="12" t="str">
        <x:v>Test steps</x:v>
      </x:c>
      <x:c r="G7" s="12" t="str">
        <x:v>Expected result</x:v>
      </x:c>
      <x:c r="H7" s="12" t="str">
        <x:v>Actual result</x:v>
      </x:c>
      <x:c r="I7" s="12" t="str">
        <x:v>Status</x:v>
      </x:c>
      <x:c r="J7" s="12" t="str">
        <x:v>Evidence / issue link</x:v>
      </x:c>
      <x:c r="K7" s="12" t="str">
        <x:v>Device / browser</x:v>
      </x:c>
      <x:c r="L7" s="12" t="str">
        <x:v>Test date</x:v>
      </x:c>
    </x:row>
    <x:row r="8" ht="88" customHeight="1">
      <x:c r="A8" s="17" t="str">
        <x:v>Scenario 001</x:v>
      </x:c>
      <x:c r="B8" s="17" t="str">
        <x:v>Navigation</x:v>
      </x:c>
      <x:c r="C8" s="17" t="str">
        <x:v>First visit and homepage</x:v>
      </x:c>
      <x:c r="D8" s="17" t="str">
        <x:v>Critical</x:v>
      </x:c>
      <x:c r="E8" s="17" t="str">
        <x:v>Guest; desktop browser</x:v>
      </x:c>
      <x:c r="F8" s="17" t="str">
        <x:v>1. Open the store URL in a private window.
2. Wait for the page to finish loading.
3. Inspect the hero, images, prices and main buttons.</x:v>
      </x:c>
      <x:c r="G8" s="17" t="str">
        <x:v>Homepage loads without a blank screen, broken images or error page. Main shopping actions are visible.</x:v>
      </x:c>
      <x:c r="H8" s="21"/>
      <x:c r="I8" s="21" t="str">
        <x:v>Not run</x:v>
      </x:c>
      <x:c r="J8" s="21"/>
      <x:c r="K8" s="21"/>
      <x:c r="L8" s="23"/>
    </x:row>
    <x:row r="9" ht="88" customHeight="1">
      <x:c r="A9" s="19" t="str">
        <x:v>Scenario 002</x:v>
      </x:c>
      <x:c r="B9" s="19" t="str">
        <x:v>Navigation</x:v>
      </x:c>
      <x:c r="C9" s="19" t="str">
        <x:v>Main navigation</x:v>
      </x:c>
      <x:c r="D9" s="19" t="str">
        <x:v>High</x:v>
      </x:c>
      <x:c r="E9" s="19" t="str">
        <x:v>Guest</x:v>
      </x:c>
      <x:c r="F9" s="19" t="str">
        <x:v>1. Click Home, Products, Journal, About and Contact.
2. Click the KAPTAN logo from another page.</x:v>
      </x:c>
      <x:c r="G9" s="19" t="str">
        <x:v>Each link opens its matching page. The logo returns to Home.</x:v>
      </x:c>
      <x:c r="H9" s="22"/>
      <x:c r="I9" s="22" t="str">
        <x:v>Not run</x:v>
      </x:c>
      <x:c r="J9" s="22"/>
      <x:c r="K9" s="22"/>
      <x:c r="L9" s="24"/>
    </x:row>
    <x:row r="10" ht="88" customHeight="1">
      <x:c r="A10" s="15" t="str">
        <x:v>Scenario 003</x:v>
      </x:c>
      <x:c r="B10" s="15" t="str">
        <x:v>Navigation</x:v>
      </x:c>
      <x:c r="C10" s="15" t="str">
        <x:v>Homepage shopping links</x:v>
      </x:c>
      <x:c r="D10" s="15" t="str">
        <x:v>High</x:v>
      </x:c>
      <x:c r="E10" s="15" t="str">
        <x:v>Available featured product and categories</x:v>
      </x:c>
      <x:c r="F10" s="15" t="str">
        <x:v>1. Click each visible Shop / collection / featured-product button.
2. Check the destination product or category.</x:v>
      </x:c>
      <x:c r="G10" s="15" t="str">
        <x:v>Each button leads to the advertised product or collection. An empty category explains that no items are available.</x:v>
      </x:c>
      <x:c r="H10" s="22"/>
      <x:c r="I10" s="22" t="str">
        <x:v>Not run</x:v>
      </x:c>
      <x:c r="J10" s="22"/>
      <x:c r="K10" s="22"/>
      <x:c r="L10" s="24"/>
    </x:row>
    <x:row r="11" ht="88" customHeight="1">
      <x:c r="A11" s="19" t="str">
        <x:v>Scenario 004</x:v>
      </x:c>
      <x:c r="B11" s="19" t="str">
        <x:v>Navigation</x:v>
      </x:c>
      <x:c r="C11" s="19" t="str">
        <x:v>Footer links</x:v>
      </x:c>
      <x:c r="D11" s="19" t="str">
        <x:v>High</x:v>
      </x:c>
      <x:c r="E11" s="19" t="str">
        <x:v>Any public page</x:v>
      </x:c>
      <x:c r="F11" s="19" t="str">
        <x:v>1. Scroll to the footer.
2. Open All Products, category, FAQ, Shipping, Returns and Privacy links.</x:v>
      </x:c>
      <x:c r="G11" s="19" t="str">
        <x:v>Links open the correct pages without a 404. Category labels agree with the products shown.</x:v>
      </x:c>
      <x:c r="H11" s="22"/>
      <x:c r="I11" s="22" t="str">
        <x:v>Not run</x:v>
      </x:c>
      <x:c r="J11" s="22"/>
      <x:c r="K11" s="22"/>
      <x:c r="L11" s="24"/>
    </x:row>
    <x:row r="12" ht="88" customHeight="1">
      <x:c r="A12" s="15" t="str">
        <x:v>Scenario 005</x:v>
      </x:c>
      <x:c r="B12" s="15" t="str">
        <x:v>Navigation</x:v>
      </x:c>
      <x:c r="C12" s="15" t="str">
        <x:v>Direct link and refresh</x:v>
      </x:c>
      <x:c r="D12" s="15" t="str">
        <x:v>High</x:v>
      </x:c>
      <x:c r="E12" s="15" t="str">
        <x:v>Copy one product URL and a filtered catalogue URL</x:v>
      </x:c>
      <x:c r="F12" s="15" t="str">
        <x:v>1. Paste each URL into a new tab.
2. Reload each page.
3. Use browser Back and Forward.</x:v>
      </x:c>
      <x:c r="G12" s="15" t="str">
        <x:v>The intended page and URL state load directly. Refresh and browser history do not break navigation.</x:v>
      </x:c>
      <x:c r="H12" s="22"/>
      <x:c r="I12" s="22" t="str">
        <x:v>Not run</x:v>
      </x:c>
      <x:c r="J12" s="22"/>
      <x:c r="K12" s="22"/>
      <x:c r="L12" s="24"/>
    </x:row>
    <x:row r="13" ht="88" customHeight="1">
      <x:c r="A13" s="19" t="str">
        <x:v>Scenario 006</x:v>
      </x:c>
      <x:c r="B13" s="19" t="str">
        <x:v>Navigation</x:v>
      </x:c>
      <x:c r="C13" s="19" t="str">
        <x:v>Unknown page</x:v>
      </x:c>
      <x:c r="D13" s="19" t="str">
        <x:v>Normal</x:v>
      </x:c>
      <x:c r="E13" s="19" t="str">
        <x:v>Guest</x:v>
      </x:c>
      <x:c r="F13" s="19" t="str">
        <x:v>1. Add /customer-test-missing-page to the store URL.
2. Use the recovery link on the page.</x:v>
      </x:c>
      <x:c r="G13" s="19" t="str">
        <x:v>A readable not-found page appears with a working route back to the store, not a blank screen.</x:v>
      </x:c>
      <x:c r="H13" s="22"/>
      <x:c r="I13" s="22" t="str">
        <x:v>Not run</x:v>
      </x:c>
      <x:c r="J13" s="22"/>
      <x:c r="K13" s="22"/>
      <x:c r="L13" s="24"/>
    </x:row>
    <x:row r="14" ht="88" customHeight="1">
      <x:c r="A14" s="15" t="str">
        <x:v>Scenario 007</x:v>
      </x:c>
      <x:c r="B14" s="15" t="str">
        <x:v>Navigation</x:v>
      </x:c>
      <x:c r="C14" s="15" t="str">
        <x:v>Unknown product</x:v>
      </x:c>
      <x:c r="D14" s="15" t="str">
        <x:v>Normal</x:v>
      </x:c>
      <x:c r="E14" s="15" t="str">
        <x:v>Guest</x:v>
      </x:c>
      <x:c r="F14" s="15" t="str">
        <x:v>1. Open /products/customer-test-missing-product.
2. Return to Products.</x:v>
      </x:c>
      <x:c r="G14" s="15" t="str">
        <x:v>Missing product is handled clearly. Store navigation remains usable.</x:v>
      </x:c>
      <x:c r="H14" s="22"/>
      <x:c r="I14" s="22" t="str">
        <x:v>Not run</x:v>
      </x:c>
      <x:c r="J14" s="22"/>
      <x:c r="K14" s="22"/>
      <x:c r="L14" s="24"/>
    </x:row>
    <x:row r="15" ht="88" customHeight="1">
      <x:c r="A15" s="19" t="str">
        <x:v>Scenario 008</x:v>
      </x:c>
      <x:c r="B15" s="19" t="str">
        <x:v>Navigation</x:v>
      </x:c>
      <x:c r="C15" s="19" t="str">
        <x:v>Social links</x:v>
      </x:c>
      <x:c r="D15" s="19" t="str">
        <x:v>Normal</x:v>
      </x:c>
      <x:c r="E15" s="19" t="str">
        <x:v>Conditional: owner has configured social profiles</x:v>
      </x:c>
      <x:c r="F15" s="19" t="str">
        <x:v>1. Open each visible social icon in the footer.
2. Verify the account name and destination.</x:v>
      </x:c>
      <x:c r="G15" s="19" t="str">
        <x:v>Only configured links appear and they open the genuine store profile. No generic social-network homepage is advertised as the store profile.</x:v>
      </x:c>
      <x:c r="H15" s="22"/>
      <x:c r="I15" s="22" t="str">
        <x:v>Not run</x:v>
      </x:c>
      <x:c r="J15" s="22"/>
      <x:c r="K15" s="22"/>
      <x:c r="L15" s="24"/>
    </x:row>
    <x:row r="16" ht="88" customHeight="1">
      <x:c r="A16" s="15" t="str">
        <x:v>Scenario 009</x:v>
      </x:c>
      <x:c r="B16" s="15" t="str">
        <x:v>Navigation</x:v>
      </x:c>
      <x:c r="C16" s="15" t="str">
        <x:v>Header search</x:v>
      </x:c>
      <x:c r="D16" s="15" t="str">
        <x:v>High</x:v>
      </x:c>
      <x:c r="E16" s="15" t="str">
        <x:v>A known product keyword</x:v>
      </x:c>
      <x:c r="F16" s="15" t="str">
        <x:v>1. Open the search icon.
2. Type the keyword and press Enter.</x:v>
      </x:c>
      <x:c r="G16" s="15" t="str">
        <x:v>Products page opens with that query and relevant results. Search does not cover or disable other navigation.</x:v>
      </x:c>
      <x:c r="H16" s="22"/>
      <x:c r="I16" s="22" t="str">
        <x:v>Not run</x:v>
      </x:c>
      <x:c r="J16" s="22"/>
      <x:c r="K16" s="22"/>
      <x:c r="L16" s="24"/>
    </x:row>
    <x:row r="17" ht="88" customHeight="1">
      <x:c r="A17" s="19" t="str">
        <x:v>Scenario 010</x:v>
      </x:c>
      <x:c r="B17" s="19" t="str">
        <x:v>Navigation</x:v>
      </x:c>
      <x:c r="C17" s="19" t="str">
        <x:v>Loading and recovery</x:v>
      </x:c>
      <x:c r="D17" s="19" t="str">
        <x:v>Normal</x:v>
      </x:c>
      <x:c r="E17" s="19" t="str">
        <x:v>Staging; browser network throttling if available</x:v>
      </x:c>
      <x:c r="F17" s="19" t="str">
        <x:v>1. Slow the browser connection.
2. Open Products then a product.
3. Restore the connection and retry if a load fails.</x:v>
      </x:c>
      <x:c r="G17" s="19" t="str">
        <x:v>Loading is understandable. A failure offers recovery or a useful error; the store does not become permanently blank.</x:v>
      </x:c>
      <x:c r="H17" s="22"/>
      <x:c r="I17" s="22" t="str">
        <x:v>Not run</x:v>
      </x:c>
      <x:c r="J17" s="22"/>
      <x:c r="K17" s="22"/>
      <x:c r="L17" s="24"/>
    </x:row>
    <x:row r="18" ht="88" customHeight="1">
      <x:c r="A18" s="17" t="str">
        <x:v>Scenario 011</x:v>
      </x:c>
      <x:c r="B18" s="17" t="str">
        <x:v>Search and filters</x:v>
      </x:c>
      <x:c r="C18" s="17" t="str">
        <x:v>Product card information</x:v>
      </x:c>
      <x:c r="D18" s="17" t="str">
        <x:v>High</x:v>
      </x:c>
      <x:c r="E18" s="17" t="str">
        <x:v>At least two available products</x:v>
      </x:c>
      <x:c r="F18" s="17" t="str">
        <x:v>1. Open Products.
2. Compare names, images and prices with each product page.</x:v>
      </x:c>
      <x:c r="G18" s="17" t="str">
        <x:v>Cards match their product pages. Price, sale price and availability are consistent.</x:v>
      </x:c>
      <x:c r="H18" s="21"/>
      <x:c r="I18" s="21" t="str">
        <x:v>Not run</x:v>
      </x:c>
      <x:c r="J18" s="21"/>
      <x:c r="K18" s="21"/>
      <x:c r="L18" s="23"/>
    </x:row>
    <x:row r="19" ht="88" customHeight="1">
      <x:c r="A19" s="19" t="str">
        <x:v>Scenario 012</x:v>
      </x:c>
      <x:c r="B19" s="19" t="str">
        <x:v>Search and filters</x:v>
      </x:c>
      <x:c r="C19" s="19" t="str">
        <x:v>Search with visible button</x:v>
      </x:c>
      <x:c r="D19" s="19" t="str">
        <x:v>High</x:v>
      </x:c>
      <x:c r="E19" s="19" t="str">
        <x:v>Known full product name</x:v>
      </x:c>
      <x:c r="F19" s="19" t="str">
        <x:v>1. Enter a full name in the catalogue search box.
2. Click Search.</x:v>
      </x:c>
      <x:c r="G19" s="19" t="str">
        <x:v>Matching product appears. Query stays visible and URL represents the search.</x:v>
      </x:c>
      <x:c r="H19" s="22"/>
      <x:c r="I19" s="22" t="str">
        <x:v>Not run</x:v>
      </x:c>
      <x:c r="J19" s="22"/>
      <x:c r="K19" s="22"/>
      <x:c r="L19" s="24"/>
    </x:row>
    <x:row r="20" ht="88" customHeight="1">
      <x:c r="A20" s="15" t="str">
        <x:v>Scenario 013</x:v>
      </x:c>
      <x:c r="B20" s="15" t="str">
        <x:v>Search and filters</x:v>
      </x:c>
      <x:c r="C20" s="15" t="str">
        <x:v>Partial and mixed-case search</x:v>
      </x:c>
      <x:c r="D20" s="15" t="str">
        <x:v>High</x:v>
      </x:c>
      <x:c r="E20" s="15" t="str">
        <x:v>Known product keyword</x:v>
      </x:c>
      <x:c r="F20" s="15" t="str">
        <x:v>1. Search a partial name.
2. Repeat with uppercase/lowercase letters.
3. Repeat with spaces around the term.</x:v>
      </x:c>
      <x:c r="G20" s="15" t="str">
        <x:v>Relevant matching products remain discoverable; spaces and letter case do not cause misleading failures.</x:v>
      </x:c>
      <x:c r="H20" s="22"/>
      <x:c r="I20" s="22" t="str">
        <x:v>Not run</x:v>
      </x:c>
      <x:c r="J20" s="22"/>
      <x:c r="K20" s="22"/>
      <x:c r="L20" s="24"/>
    </x:row>
    <x:row r="21" ht="88" customHeight="1">
      <x:c r="A21" s="19" t="str">
        <x:v>Scenario 014</x:v>
      </x:c>
      <x:c r="B21" s="19" t="str">
        <x:v>Search and filters</x:v>
      </x:c>
      <x:c r="C21" s="19" t="str">
        <x:v>No search results</x:v>
      </x:c>
      <x:c r="D21" s="19" t="str">
        <x:v>High</x:v>
      </x:c>
      <x:c r="E21" s="19" t="str">
        <x:v>Term: zzz-no-product-9284</x:v>
      </x:c>
      <x:c r="F21" s="19" t="str">
        <x:v>1. Search the test term.
2. Replace it with a known product and search again.</x:v>
      </x:c>
      <x:c r="G21" s="19" t="str">
        <x:v>A useful empty state appears first. A valid replacement query restores results.</x:v>
      </x:c>
      <x:c r="H21" s="22"/>
      <x:c r="I21" s="22" t="str">
        <x:v>Not run</x:v>
      </x:c>
      <x:c r="J21" s="22"/>
      <x:c r="K21" s="22"/>
      <x:c r="L21" s="24"/>
    </x:row>
    <x:row r="22" ht="88" customHeight="1">
      <x:c r="A22" s="15" t="str">
        <x:v>Scenario 015</x:v>
      </x:c>
      <x:c r="B22" s="15" t="str">
        <x:v>Search and filters</x:v>
      </x:c>
      <x:c r="C22" s="15" t="str">
        <x:v>Category selection</x:v>
      </x:c>
      <x:c r="D22" s="15" t="str">
        <x:v>High</x:v>
      </x:c>
      <x:c r="E22" s="15" t="str">
        <x:v>Two populated categories</x:v>
      </x:c>
      <x:c r="F22" s="15" t="str">
        <x:v>1. Select one category, then another.
2. Select All Products.</x:v>
      </x:c>
      <x:c r="G22" s="15" t="str">
        <x:v>Only the selected category is shown. All Products removes the category restriction.</x:v>
      </x:c>
      <x:c r="H22" s="22"/>
      <x:c r="I22" s="22" t="str">
        <x:v>Not run</x:v>
      </x:c>
      <x:c r="J22" s="22"/>
      <x:c r="K22" s="22"/>
      <x:c r="L22" s="24"/>
    </x:row>
    <x:row r="23" ht="88" customHeight="1">
      <x:c r="A23" s="19" t="str">
        <x:v>Scenario 016</x:v>
      </x:c>
      <x:c r="B23" s="19" t="str">
        <x:v>Search and filters</x:v>
      </x:c>
      <x:c r="C23" s="19" t="str">
        <x:v>Price range</x:v>
      </x:c>
      <x:c r="D23" s="19" t="str">
        <x:v>High</x:v>
      </x:c>
      <x:c r="E23" s="19" t="str">
        <x:v>Owner identifies products inside and outside €10–€30</x:v>
      </x:c>
      <x:c r="F23" s="19" t="str">
        <x:v>1. Set minimum 10 and maximum 30.
2. Apply/leave each price field as required by the UI.
3. Inspect results.</x:v>
      </x:c>
      <x:c r="G23" s="19" t="str">
        <x:v>Visible products fall within the inclusive EUR range. Price filters are labelled in EUR even when display currency differs.</x:v>
      </x:c>
      <x:c r="H23" s="22"/>
      <x:c r="I23" s="22" t="str">
        <x:v>Not run</x:v>
      </x:c>
      <x:c r="J23" s="22"/>
      <x:c r="K23" s="22"/>
      <x:c r="L23" s="24"/>
    </x:row>
    <x:row r="24" ht="88" customHeight="1">
      <x:c r="A24" s="15" t="str">
        <x:v>Scenario 017</x:v>
      </x:c>
      <x:c r="B24" s="15" t="str">
        <x:v>Search and filters</x:v>
      </x:c>
      <x:c r="C24" s="15" t="str">
        <x:v>Invalid price range</x:v>
      </x:c>
      <x:c r="D24" s="15" t="str">
        <x:v>Normal</x:v>
      </x:c>
      <x:c r="E24" s="15" t="str">
        <x:v>Guest</x:v>
      </x:c>
      <x:c r="F24" s="15" t="str">
        <x:v>1. Enter minimum 30 and maximum 10.
2. Try a negative price and nonnumeric text.
3. Correct both fields.</x:v>
      </x:c>
      <x:c r="G24" s="15" t="str">
        <x:v>No crash or misleading purchase price. Invalid input is rejected or explained; correcting input restores normal filtering.</x:v>
      </x:c>
      <x:c r="H24" s="22"/>
      <x:c r="I24" s="22" t="str">
        <x:v>Not run</x:v>
      </x:c>
      <x:c r="J24" s="22"/>
      <x:c r="K24" s="22"/>
      <x:c r="L24" s="24"/>
    </x:row>
    <x:row r="25" ht="88" customHeight="1">
      <x:c r="A25" s="19" t="str">
        <x:v>Scenario 018</x:v>
      </x:c>
      <x:c r="B25" s="19" t="str">
        <x:v>Search and filters</x:v>
      </x:c>
      <x:c r="C25" s="19" t="str">
        <x:v>In-stock filter</x:v>
      </x:c>
      <x:c r="D25" s="19" t="str">
        <x:v>High</x:v>
      </x:c>
      <x:c r="E25" s="19" t="str">
        <x:v>Owner supplies available and zero-stock products</x:v>
      </x:c>
      <x:c r="F25" s="19" t="str">
        <x:v>1. Enable In stock only.
2. Disable it again.</x:v>
      </x:c>
      <x:c r="G25" s="19" t="str">
        <x:v>Only purchasable stock is shown when enabled. Filter can be removed without losing navigation.</x:v>
      </x:c>
      <x:c r="H25" s="22"/>
      <x:c r="I25" s="22" t="str">
        <x:v>Not run</x:v>
      </x:c>
      <x:c r="J25" s="22"/>
      <x:c r="K25" s="22"/>
      <x:c r="L25" s="24"/>
    </x:row>
    <x:row r="26" ht="88" customHeight="1">
      <x:c r="A26" s="15" t="str">
        <x:v>Scenario 019</x:v>
      </x:c>
      <x:c r="B26" s="15" t="str">
        <x:v>Search and filters</x:v>
      </x:c>
      <x:c r="C26" s="15" t="str">
        <x:v>All sort options</x:v>
      </x:c>
      <x:c r="D26" s="15" t="str">
        <x:v>High</x:v>
      </x:c>
      <x:c r="E26" s="15" t="str">
        <x:v>At least three products with different prices</x:v>
      </x:c>
      <x:c r="F26" s="15" t="str">
        <x:v>1. Choose price low to high, then high to low.
2. Choose Newest and Most popular.</x:v>
      </x:c>
      <x:c r="G26" s="15" t="str">
        <x:v>Price order is correct. Each other sort loads without errors and retains the selected option. Owner can confirm date/sales ordering.</x:v>
      </x:c>
      <x:c r="H26" s="22"/>
      <x:c r="I26" s="22" t="str">
        <x:v>Not run</x:v>
      </x:c>
      <x:c r="J26" s="22"/>
      <x:c r="K26" s="22"/>
      <x:c r="L26" s="24"/>
    </x:row>
    <x:row r="27" ht="88" customHeight="1">
      <x:c r="A27" s="19" t="str">
        <x:v>Scenario 020</x:v>
      </x:c>
      <x:c r="B27" s="19" t="str">
        <x:v>Search and filters</x:v>
      </x:c>
      <x:c r="C27" s="19" t="str">
        <x:v>Combined filters and clear</x:v>
      </x:c>
      <x:c r="D27" s="19" t="str">
        <x:v>High</x:v>
      </x:c>
      <x:c r="E27" s="19" t="str">
        <x:v>Several products across categories</x:v>
      </x:c>
      <x:c r="F27" s="19" t="str">
        <x:v>1. Choose a category, query, price range and in-stock filter.
2. Use Clear filters.
3. Clear the query and choose All Products separately.</x:v>
      </x:c>
      <x:c r="G27" s="19" t="str">
        <x:v>Combined restrictions apply together. Clear filters resets price, stock and sort; category/query can be cleared separately to restore the catalogue.</x:v>
      </x:c>
      <x:c r="H27" s="22"/>
      <x:c r="I27" s="22" t="str">
        <x:v>Not run</x:v>
      </x:c>
      <x:c r="J27" s="22"/>
      <x:c r="K27" s="22"/>
      <x:c r="L27" s="24"/>
    </x:row>
    <x:row r="28" ht="88" customHeight="1">
      <x:c r="A28" s="15" t="str">
        <x:v>Scenario 021</x:v>
      </x:c>
      <x:c r="B28" s="15" t="str">
        <x:v>Search and filters</x:v>
      </x:c>
      <x:c r="C28" s="15" t="str">
        <x:v>Catalogue pagination</x:v>
      </x:c>
      <x:c r="D28" s="15" t="str">
        <x:v>High</x:v>
      </x:c>
      <x:c r="E28" s="15" t="str">
        <x:v>Conditional: more than 24 matching products</x:v>
      </x:c>
      <x:c r="F28" s="15" t="str">
        <x:v>1. Record products on page 1.
2. Open Next, then Previous.
3. Change a filter while on page 2.</x:v>
      </x:c>
      <x:c r="G28" s="15" t="str">
        <x:v>Next shows another page; Previous returns correctly. First/last boundaries disable impossible navigation. Changing filters returns to page 1.</x:v>
      </x:c>
      <x:c r="H28" s="22"/>
      <x:c r="I28" s="22" t="str">
        <x:v>Not run</x:v>
      </x:c>
      <x:c r="J28" s="22"/>
      <x:c r="K28" s="22"/>
      <x:c r="L28" s="24"/>
    </x:row>
    <x:row r="29" ht="88" customHeight="1">
      <x:c r="A29" s="19" t="str">
        <x:v>Scenario 022</x:v>
      </x:c>
      <x:c r="B29" s="19" t="str">
        <x:v>Search and filters</x:v>
      </x:c>
      <x:c r="C29" s="19" t="str">
        <x:v>Filter state on return</x:v>
      </x:c>
      <x:c r="D29" s="19" t="str">
        <x:v>High</x:v>
      </x:c>
      <x:c r="E29" s="19" t="str">
        <x:v>Guest</x:v>
      </x:c>
      <x:c r="F29" s="19" t="str">
        <x:v>1. Set filters and sorting.
2. Open a product, then use browser Back.
3. Reload the catalogue.</x:v>
      </x:c>
      <x:c r="G29" s="19" t="str">
        <x:v>Results and controls correspond to the URL after Back and refresh. No stale query or misleading filter values.</x:v>
      </x:c>
      <x:c r="H29" s="22"/>
      <x:c r="I29" s="22" t="str">
        <x:v>Not run</x:v>
      </x:c>
      <x:c r="J29" s="22"/>
      <x:c r="K29" s="22"/>
      <x:c r="L29" s="24"/>
    </x:row>
    <x:row r="30" ht="88" customHeight="1">
      <x:c r="A30" s="17" t="str">
        <x:v>Scenario 023</x:v>
      </x:c>
      <x:c r="B30" s="17" t="str">
        <x:v>Product details</x:v>
      </x:c>
      <x:c r="C30" s="17" t="str">
        <x:v>Product content</x:v>
      </x:c>
      <x:c r="D30" s="17" t="str">
        <x:v>High</x:v>
      </x:c>
      <x:c r="E30" s="17" t="str">
        <x:v>Simple in-stock product P1 from Guide</x:v>
      </x:c>
      <x:c r="F30" s="17" t="str">
        <x:v>1. Open P1.
2. Read title, price, description, care information and stock label.</x:v>
      </x:c>
      <x:c r="G30" s="17" t="str">
        <x:v>Content belongs to P1, is readable and does not contain placeholders or contradictory product claims.</x:v>
      </x:c>
      <x:c r="H30" s="21"/>
      <x:c r="I30" s="21" t="str">
        <x:v>Not run</x:v>
      </x:c>
      <x:c r="J30" s="21"/>
      <x:c r="K30" s="21"/>
      <x:c r="L30" s="23"/>
    </x:row>
    <x:row r="31" ht="88" customHeight="1">
      <x:c r="A31" s="19" t="str">
        <x:v>Scenario 024</x:v>
      </x:c>
      <x:c r="B31" s="19" t="str">
        <x:v>Product details</x:v>
      </x:c>
      <x:c r="C31" s="19" t="str">
        <x:v>Gallery images</x:v>
      </x:c>
      <x:c r="D31" s="19" t="str">
        <x:v>Normal</x:v>
      </x:c>
      <x:c r="E31" s="19" t="str">
        <x:v>Conditional: product with several images</x:v>
      </x:c>
      <x:c r="F31" s="19" t="str">
        <x:v>1. Select every thumbnail.
2. Open enlarged view.
3. Close it and continue shopping.</x:v>
      </x:c>
      <x:c r="G31" s="19" t="str">
        <x:v>Main image changes correctly; images are sharp enough to inspect. Enlarged view closes and does not trap the page.</x:v>
      </x:c>
      <x:c r="H31" s="22"/>
      <x:c r="I31" s="22" t="str">
        <x:v>Not run</x:v>
      </x:c>
      <x:c r="J31" s="22"/>
      <x:c r="K31" s="22"/>
      <x:c r="L31" s="24"/>
    </x:row>
    <x:row r="32" ht="88" customHeight="1">
      <x:c r="A32" s="15" t="str">
        <x:v>Scenario 025</x:v>
      </x:c>
      <x:c r="B32" s="15" t="str">
        <x:v>Product details</x:v>
      </x:c>
      <x:c r="C32" s="15" t="str">
        <x:v>Product video</x:v>
      </x:c>
      <x:c r="D32" s="15" t="str">
        <x:v>Normal</x:v>
      </x:c>
      <x:c r="E32" s="15" t="str">
        <x:v>Conditional: product with a video</x:v>
      </x:c>
      <x:c r="F32" s="15" t="str">
        <x:v>1. Open its video thumbnail.
2. Play and pause.
3. Switch back to an image.</x:v>
      </x:c>
      <x:c r="G32" s="15" t="str">
        <x:v>Video controls work. Switching media does not break the gallery or purchase buttons.</x:v>
      </x:c>
      <x:c r="H32" s="22"/>
      <x:c r="I32" s="22" t="str">
        <x:v>Not run</x:v>
      </x:c>
      <x:c r="J32" s="22"/>
      <x:c r="K32" s="22"/>
      <x:c r="L32" s="24"/>
    </x:row>
    <x:row r="33" ht="88" customHeight="1">
      <x:c r="A33" s="19" t="str">
        <x:v>Scenario 026</x:v>
      </x:c>
      <x:c r="B33" s="19" t="str">
        <x:v>Product details</x:v>
      </x:c>
      <x:c r="C33" s="19" t="str">
        <x:v>Sale price</x:v>
      </x:c>
      <x:c r="D33" s="19" t="str">
        <x:v>High</x:v>
      </x:c>
      <x:c r="E33" s="19" t="str">
        <x:v>Conditional: product with a valid compare-at price</x:v>
      </x:c>
      <x:c r="F33" s="19" t="str">
        <x:v>1. Inspect its product card and detail page.
2. Add one unit to the cart.</x:v>
      </x:c>
      <x:c r="G33" s="19" t="str">
        <x:v>Current sale price is charged. Previous price is clearly secondary and discount information is consistent.</x:v>
      </x:c>
      <x:c r="H33" s="22"/>
      <x:c r="I33" s="22" t="str">
        <x:v>Not run</x:v>
      </x:c>
      <x:c r="J33" s="22"/>
      <x:c r="K33" s="22"/>
      <x:c r="L33" s="24"/>
    </x:row>
    <x:row r="34" ht="88" customHeight="1">
      <x:c r="A34" s="15" t="str">
        <x:v>Scenario 027</x:v>
      </x:c>
      <x:c r="B34" s="15" t="str">
        <x:v>Product details</x:v>
      </x:c>
      <x:c r="C34" s="15" t="str">
        <x:v>Add a simple product</x:v>
      </x:c>
      <x:c r="D34" s="15" t="str">
        <x:v>Critical</x:v>
      </x:c>
      <x:c r="E34" s="15" t="str">
        <x:v>P1; empty cart</x:v>
      </x:c>
      <x:c r="F34" s="15" t="str">
        <x:v>1. Set quantity 1.
2. Click Add to cart.
3. Inspect the cart drawer.</x:v>
      </x:c>
      <x:c r="G34" s="15" t="str">
        <x:v>Exactly one P1 is added with the correct name, image and unit price. Drawer/toast confirms the action.</x:v>
      </x:c>
      <x:c r="H34" s="22"/>
      <x:c r="I34" s="22" t="str">
        <x:v>Not run</x:v>
      </x:c>
      <x:c r="J34" s="22"/>
      <x:c r="K34" s="22"/>
      <x:c r="L34" s="24"/>
    </x:row>
    <x:row r="35" ht="88" customHeight="1">
      <x:c r="A35" s="19" t="str">
        <x:v>Scenario 028</x:v>
      </x:c>
      <x:c r="B35" s="19" t="str">
        <x:v>Product details</x:v>
      </x:c>
      <x:c r="C35" s="19" t="str">
        <x:v>Required option selection</x:v>
      </x:c>
      <x:c r="D35" s="19" t="str">
        <x:v>Critical</x:v>
      </x:c>
      <x:c r="E35" s="19" t="str">
        <x:v>Variant product P2</x:v>
      </x:c>
      <x:c r="F35" s="19" t="str">
        <x:v>1. Open P2 without choosing an option.
2. Try Add to cart and Buy now.
3. Choose an available option.</x:v>
      </x:c>
      <x:c r="G35" s="19" t="str">
        <x:v>Purchase is blocked until an option is selected. Selecting an available option enables purchase.</x:v>
      </x:c>
      <x:c r="H35" s="22"/>
      <x:c r="I35" s="22" t="str">
        <x:v>Not run</x:v>
      </x:c>
      <x:c r="J35" s="22"/>
      <x:c r="K35" s="22"/>
      <x:c r="L35" s="24"/>
    </x:row>
    <x:row r="36" ht="88" customHeight="1">
      <x:c r="A36" s="15" t="str">
        <x:v>Scenario 029</x:v>
      </x:c>
      <x:c r="B36" s="15" t="str">
        <x:v>Product details</x:v>
      </x:c>
      <x:c r="C36" s="15" t="str">
        <x:v>Option price and cart label</x:v>
      </x:c>
      <x:c r="D36" s="15" t="str">
        <x:v>Critical</x:v>
      </x:c>
      <x:c r="E36" s="15" t="str">
        <x:v>P2 has two variants with different prices</x:v>
      </x:c>
      <x:c r="F36" s="15" t="str">
        <x:v>1. Choose variant A and note its price.
2. Add it to cart.
3. Choose variant B and add it.</x:v>
      </x:c>
      <x:c r="G36" s="15" t="str">
        <x:v>Correct price modifier applies. Cart distinguishes the two variants with correct labels and prices.</x:v>
      </x:c>
      <x:c r="H36" s="22"/>
      <x:c r="I36" s="22" t="str">
        <x:v>Not run</x:v>
      </x:c>
      <x:c r="J36" s="22"/>
      <x:c r="K36" s="22"/>
      <x:c r="L36" s="24"/>
    </x:row>
    <x:row r="37" ht="88" customHeight="1">
      <x:c r="A37" s="19" t="str">
        <x:v>Scenario 030</x:v>
      </x:c>
      <x:c r="B37" s="19" t="str">
        <x:v>Product details</x:v>
      </x:c>
      <x:c r="C37" s="19" t="str">
        <x:v>Unavailable option</x:v>
      </x:c>
      <x:c r="D37" s="19" t="str">
        <x:v>High</x:v>
      </x:c>
      <x:c r="E37" s="19" t="str">
        <x:v>P2 includes unavailable or zero-stock variant</x:v>
      </x:c>
      <x:c r="F37" s="19" t="str">
        <x:v>1. Try selecting the unavailable option.
2. Choose an available option instead.</x:v>
      </x:c>
      <x:c r="G37" s="19" t="str">
        <x:v>Unavailable option cannot be bought; available options remain usable.</x:v>
      </x:c>
      <x:c r="H37" s="22"/>
      <x:c r="I37" s="22" t="str">
        <x:v>Not run</x:v>
      </x:c>
      <x:c r="J37" s="22"/>
      <x:c r="K37" s="22"/>
      <x:c r="L37" s="24"/>
    </x:row>
    <x:row r="38" ht="88" customHeight="1">
      <x:c r="A38" s="15" t="str">
        <x:v>Scenario 031</x:v>
      </x:c>
      <x:c r="B38" s="15" t="str">
        <x:v>Product details</x:v>
      </x:c>
      <x:c r="C38" s="15" t="str">
        <x:v>Quantity minimum and maximum</x:v>
      </x:c>
      <x:c r="D38" s="15" t="str">
        <x:v>High</x:v>
      </x:c>
      <x:c r="E38" s="15" t="str">
        <x:v>P2 has a known stock limit</x:v>
      </x:c>
      <x:c r="F38" s="15" t="str">
        <x:v>1. Decrease at quantity 1.
2. Increase to the stock limit or 50, whichever is lower.
3. Switch to a lower-stock option.</x:v>
      </x:c>
      <x:c r="G38" s="15" t="str">
        <x:v>Quantity stays at least 1 and within the product/variant limit and 50-unit cap. Switching options clamps excess quantity.</x:v>
      </x:c>
      <x:c r="H38" s="22"/>
      <x:c r="I38" s="22" t="str">
        <x:v>Not run</x:v>
      </x:c>
      <x:c r="J38" s="22"/>
      <x:c r="K38" s="22"/>
      <x:c r="L38" s="24"/>
    </x:row>
    <x:row r="39" ht="88" customHeight="1">
      <x:c r="A39" s="19" t="str">
        <x:v>Scenario 032</x:v>
      </x:c>
      <x:c r="B39" s="19" t="str">
        <x:v>Product details</x:v>
      </x:c>
      <x:c r="C39" s="19" t="str">
        <x:v>Out-of-stock product</x:v>
      </x:c>
      <x:c r="D39" s="19" t="str">
        <x:v>Critical</x:v>
      </x:c>
      <x:c r="E39" s="19" t="str">
        <x:v>Zero-stock product P3</x:v>
      </x:c>
      <x:c r="F39" s="19" t="str">
        <x:v>1. Open P3 directly.
2. Try Add to cart and Buy now.</x:v>
      </x:c>
      <x:c r="G39" s="19" t="str">
        <x:v>Out-of-stock state is clear. Neither action creates a purchasable cart entry.</x:v>
      </x:c>
      <x:c r="H39" s="22"/>
      <x:c r="I39" s="22" t="str">
        <x:v>Not run</x:v>
      </x:c>
      <x:c r="J39" s="22"/>
      <x:c r="K39" s="22"/>
      <x:c r="L39" s="24"/>
    </x:row>
    <x:row r="40" ht="88" customHeight="1">
      <x:c r="A40" s="15" t="str">
        <x:v>Scenario 033</x:v>
      </x:c>
      <x:c r="B40" s="15" t="str">
        <x:v>Product details</x:v>
      </x:c>
      <x:c r="C40" s="15" t="str">
        <x:v>Buy now</x:v>
      </x:c>
      <x:c r="D40" s="15" t="str">
        <x:v>High</x:v>
      </x:c>
      <x:c r="E40" s="15" t="str">
        <x:v>P1 and an existing cart item</x:v>
      </x:c>
      <x:c r="F40" s="15" t="str">
        <x:v>1. Open P1 and choose quantity 2.
2. Click Buy now.</x:v>
      </x:c>
      <x:c r="G40" s="15" t="str">
        <x:v>Checkout opens with the selected quantity added. Existing cart items remain visible; totals include the whole cart.</x:v>
      </x:c>
      <x:c r="H40" s="22"/>
      <x:c r="I40" s="22" t="str">
        <x:v>Not run</x:v>
      </x:c>
      <x:c r="J40" s="22"/>
      <x:c r="K40" s="22"/>
      <x:c r="L40" s="24"/>
    </x:row>
    <x:row r="41" ht="88" customHeight="1">
      <x:c r="A41" s="19" t="str">
        <x:v>Scenario 034</x:v>
      </x:c>
      <x:c r="B41" s="19" t="str">
        <x:v>Product details</x:v>
      </x:c>
      <x:c r="C41" s="19" t="str">
        <x:v>Related and recently viewed</x:v>
      </x:c>
      <x:c r="D41" s="19" t="str">
        <x:v>Normal</x:v>
      </x:c>
      <x:c r="E41" s="19" t="str">
        <x:v>At least two products</x:v>
      </x:c>
      <x:c r="F41" s="19" t="str">
        <x:v>1. View product A, then product B.
2. Inspect related/recently viewed sections where shown.
3. Open a suggested product.</x:v>
      </x:c>
      <x:c r="G41" s="19" t="str">
        <x:v>Suggestions link to the correct products. Recently viewed entries reflect products visited in this browser.</x:v>
      </x:c>
      <x:c r="H41" s="22"/>
      <x:c r="I41" s="22" t="str">
        <x:v>Not run</x:v>
      </x:c>
      <x:c r="J41" s="22"/>
      <x:c r="K41" s="22"/>
      <x:c r="L41" s="24"/>
    </x:row>
    <x:row r="42" ht="88" customHeight="1">
      <x:c r="A42" s="15" t="str">
        <x:v>Scenario 035</x:v>
      </x:c>
      <x:c r="B42" s="15" t="str">
        <x:v>Product details</x:v>
      </x:c>
      <x:c r="C42" s="15" t="str">
        <x:v>Bundle selection and totals</x:v>
      </x:c>
      <x:c r="D42" s="15" t="str">
        <x:v>High</x:v>
      </x:c>
      <x:c r="E42" s="15" t="str">
        <x:v>Conditional: product showing a bundle</x:v>
      </x:c>
      <x:c r="F42" s="15" t="str">
        <x:v>1. Select and deselect a companion item.
2. Compare the displayed bundle sum.
3. Add the selected bundle.</x:v>
      </x:c>
      <x:c r="G42" s="15" t="str">
        <x:v>Only selected items are added, each once, and their total matches the displayed sum. No phantom discount is charged.</x:v>
      </x:c>
      <x:c r="H42" s="22"/>
      <x:c r="I42" s="22" t="str">
        <x:v>Not run</x:v>
      </x:c>
      <x:c r="J42" s="22"/>
      <x:c r="K42" s="22"/>
      <x:c r="L42" s="24"/>
    </x:row>
    <x:row r="43" ht="88" customHeight="1">
      <x:c r="A43" s="19" t="str">
        <x:v>Scenario 036</x:v>
      </x:c>
      <x:c r="B43" s="19" t="str">
        <x:v>Product details</x:v>
      </x:c>
      <x:c r="C43" s="19" t="str">
        <x:v>Bundle with required option</x:v>
      </x:c>
      <x:c r="D43" s="19" t="str">
        <x:v>High</x:v>
      </x:c>
      <x:c r="E43" s="19" t="str">
        <x:v>Conditional: P2 also shows a bundle</x:v>
      </x:c>
      <x:c r="F43" s="19" t="str">
        <x:v>1. Try adding the bundle before choosing P2 option.
2. Choose an available option and add the bundle.</x:v>
      </x:c>
      <x:c r="G43" s="19" t="str">
        <x:v>Bundle is blocked without the main option. Main product retains that option and price; companion items needing their own options are not silently added.</x:v>
      </x:c>
      <x:c r="H43" s="22"/>
      <x:c r="I43" s="22" t="str">
        <x:v>Not run</x:v>
      </x:c>
      <x:c r="J43" s="22"/>
      <x:c r="K43" s="22"/>
      <x:c r="L43" s="24"/>
    </x:row>
    <x:row r="44" ht="88" customHeight="1">
      <x:c r="A44" s="17" t="str">
        <x:v>Scenario 037</x:v>
      </x:c>
      <x:c r="B44" s="17" t="str">
        <x:v>Cart</x:v>
      </x:c>
      <x:c r="C44" s="17" t="str">
        <x:v>Empty cart</x:v>
      </x:c>
      <x:c r="D44" s="17" t="str">
        <x:v>Critical</x:v>
      </x:c>
      <x:c r="E44" s="17" t="str">
        <x:v>Guest; remove existing test items</x:v>
      </x:c>
      <x:c r="F44" s="17" t="str">
        <x:v>1. Open the cart drawer and /cart.
2. Open /checkout directly.
3. Use Continue shopping.</x:v>
      </x:c>
      <x:c r="G44" s="17" t="str">
        <x:v>Clear empty state appears. Empty checkout cannot place an order. Continue shopping opens Products.</x:v>
      </x:c>
      <x:c r="H44" s="21"/>
      <x:c r="I44" s="21" t="str">
        <x:v>Not run</x:v>
      </x:c>
      <x:c r="J44" s="21"/>
      <x:c r="K44" s="21"/>
      <x:c r="L44" s="23"/>
    </x:row>
    <x:row r="45" ht="88" customHeight="1">
      <x:c r="A45" s="19" t="str">
        <x:v>Scenario 038</x:v>
      </x:c>
      <x:c r="B45" s="19" t="str">
        <x:v>Cart</x:v>
      </x:c>
      <x:c r="C45" s="19" t="str">
        <x:v>Cart badge and subtotal</x:v>
      </x:c>
      <x:c r="D45" s="19" t="str">
        <x:v>Critical</x:v>
      </x:c>
      <x:c r="E45" s="19" t="str">
        <x:v>P1 plus a second simple product</x:v>
      </x:c>
      <x:c r="F45" s="19" t="str">
        <x:v>1. Add 2 of P1 and 1 of another product.
2. Open the drawer.
3. Calculate quantity × price for each line.</x:v>
      </x:c>
      <x:c r="G45" s="19" t="str">
        <x:v>Badge shows total quantity 3. Each line and subtotal match the calculation.</x:v>
      </x:c>
      <x:c r="H45" s="22"/>
      <x:c r="I45" s="22" t="str">
        <x:v>Not run</x:v>
      </x:c>
      <x:c r="J45" s="22"/>
      <x:c r="K45" s="22"/>
      <x:c r="L45" s="24"/>
    </x:row>
    <x:row r="46" ht="88" customHeight="1">
      <x:c r="A46" s="15" t="str">
        <x:v>Scenario 039</x:v>
      </x:c>
      <x:c r="B46" s="15" t="str">
        <x:v>Cart</x:v>
      </x:c>
      <x:c r="C46" s="15" t="str">
        <x:v>Repeated add merges correctly</x:v>
      </x:c>
      <x:c r="D46" s="15" t="str">
        <x:v>High</x:v>
      </x:c>
      <x:c r="E46" s="15" t="str">
        <x:v>Simple product P1</x:v>
      </x:c>
      <x:c r="F46" s="15" t="str">
        <x:v>1. Add P1 twice with the same option.
2. Inspect its cart line.</x:v>
      </x:c>
      <x:c r="G46" s="15" t="str">
        <x:v>Quantity increases on the matching item instead of creating ambiguous duplicates.</x:v>
      </x:c>
      <x:c r="H46" s="22"/>
      <x:c r="I46" s="22" t="str">
        <x:v>Not run</x:v>
      </x:c>
      <x:c r="J46" s="22"/>
      <x:c r="K46" s="22"/>
      <x:c r="L46" s="24"/>
    </x:row>
    <x:row r="47" ht="88" customHeight="1">
      <x:c r="A47" s="19" t="str">
        <x:v>Scenario 040</x:v>
      </x:c>
      <x:c r="B47" s="19" t="str">
        <x:v>Cart</x:v>
      </x:c>
      <x:c r="C47" s="19" t="str">
        <x:v>Increase and decrease quantity</x:v>
      </x:c>
      <x:c r="D47" s="19" t="str">
        <x:v>Critical</x:v>
      </x:c>
      <x:c r="E47" s="19" t="str">
        <x:v>Cart has two different products</x:v>
      </x:c>
      <x:c r="F47" s="19" t="str">
        <x:v>1. Change quantity in drawer.
2. Open /cart and change it again.
3. Open checkout and change it once more.</x:v>
      </x:c>
      <x:c r="G47" s="19" t="str">
        <x:v>All cart views reflect the same quantities and totals. Quantity never becomes negative or exceeds 50 per line.</x:v>
      </x:c>
      <x:c r="H47" s="22"/>
      <x:c r="I47" s="22" t="str">
        <x:v>Not run</x:v>
      </x:c>
      <x:c r="J47" s="22"/>
      <x:c r="K47" s="22"/>
      <x:c r="L47" s="24"/>
    </x:row>
    <x:row r="48" ht="88" customHeight="1">
      <x:c r="A48" s="15" t="str">
        <x:v>Scenario 041</x:v>
      </x:c>
      <x:c r="B48" s="15" t="str">
        <x:v>Cart</x:v>
      </x:c>
      <x:c r="C48" s="15" t="str">
        <x:v>Remove one item</x:v>
      </x:c>
      <x:c r="D48" s="15" t="str">
        <x:v>High</x:v>
      </x:c>
      <x:c r="E48" s="15" t="str">
        <x:v>Cart has two different lines</x:v>
      </x:c>
      <x:c r="F48" s="15" t="str">
        <x:v>1. Remove one item.
2. Inspect the remaining item, badge and subtotal.</x:v>
      </x:c>
      <x:c r="G48" s="15" t="str">
        <x:v>Only the chosen line disappears; remaining quantities and totals are correct.</x:v>
      </x:c>
      <x:c r="H48" s="22"/>
      <x:c r="I48" s="22" t="str">
        <x:v>Not run</x:v>
      </x:c>
      <x:c r="J48" s="22"/>
      <x:c r="K48" s="22"/>
      <x:c r="L48" s="24"/>
    </x:row>
    <x:row r="49" ht="88" customHeight="1">
      <x:c r="A49" s="19" t="str">
        <x:v>Scenario 042</x:v>
      </x:c>
      <x:c r="B49" s="19" t="str">
        <x:v>Cart</x:v>
      </x:c>
      <x:c r="C49" s="19" t="str">
        <x:v>Remove the final item</x:v>
      </x:c>
      <x:c r="D49" s="19" t="str">
        <x:v>High</x:v>
      </x:c>
      <x:c r="E49" s="19" t="str">
        <x:v>Cart contains one line</x:v>
      </x:c>
      <x:c r="F49" s="19" t="str">
        <x:v>1. Remove that line.
2. Reopen the drawer and cart page.</x:v>
      </x:c>
      <x:c r="G49" s="19" t="str">
        <x:v>Badge and subtotal reset; the empty state appears consistently.</x:v>
      </x:c>
      <x:c r="H49" s="22"/>
      <x:c r="I49" s="22" t="str">
        <x:v>Not run</x:v>
      </x:c>
      <x:c r="J49" s="22"/>
      <x:c r="K49" s="22"/>
      <x:c r="L49" s="24"/>
    </x:row>
    <x:row r="50" ht="88" customHeight="1">
      <x:c r="A50" s="15" t="str">
        <x:v>Scenario 043</x:v>
      </x:c>
      <x:c r="B50" s="15" t="str">
        <x:v>Cart</x:v>
      </x:c>
      <x:c r="C50" s="15" t="str">
        <x:v>Close cart drawer</x:v>
      </x:c>
      <x:c r="D50" s="15" t="str">
        <x:v>Normal</x:v>
      </x:c>
      <x:c r="E50" s="15" t="str">
        <x:v>Nonempty cart</x:v>
      </x:c>
      <x:c r="F50" s="15" t="str">
        <x:v>1. Open the drawer.
2. Close using its close button.
3. Reopen and press Escape.</x:v>
      </x:c>
      <x:c r="G50" s="15" t="str">
        <x:v>Drawer closes without losing items. Keyboard focus returns to a usable control.</x:v>
      </x:c>
      <x:c r="H50" s="22"/>
      <x:c r="I50" s="22" t="str">
        <x:v>Not run</x:v>
      </x:c>
      <x:c r="J50" s="22"/>
      <x:c r="K50" s="22"/>
      <x:c r="L50" s="24"/>
    </x:row>
    <x:row r="51" ht="88" customHeight="1">
      <x:c r="A51" s="19" t="str">
        <x:v>Scenario 044</x:v>
      </x:c>
      <x:c r="B51" s="19" t="str">
        <x:v>Cart</x:v>
      </x:c>
      <x:c r="C51" s="19" t="str">
        <x:v>Saved cart after reload</x:v>
      </x:c>
      <x:c r="D51" s="19" t="str">
        <x:v>Critical</x:v>
      </x:c>
      <x:c r="E51" s="19" t="str">
        <x:v>Guest; nonempty cart</x:v>
      </x:c>
      <x:c r="F51" s="19" t="str">
        <x:v>1. Reload the page.
2. Close and reopen the same browser normally.
3. Return to /cart.</x:v>
      </x:c>
      <x:c r="G51" s="19" t="str">
        <x:v>Saved products, options and quantities return in the same browser. No blank page or persistent incorrect badge.</x:v>
      </x:c>
      <x:c r="H51" s="22"/>
      <x:c r="I51" s="22" t="str">
        <x:v>Not run</x:v>
      </x:c>
      <x:c r="J51" s="22"/>
      <x:c r="K51" s="22"/>
      <x:c r="L51" s="24"/>
    </x:row>
    <x:row r="52" ht="88" customHeight="1">
      <x:c r="A52" s="15" t="str">
        <x:v>Scenario 045</x:v>
      </x:c>
      <x:c r="B52" s="15" t="str">
        <x:v>Cart</x:v>
      </x:c>
      <x:c r="C52" s="15" t="str">
        <x:v>Continue shopping</x:v>
      </x:c>
      <x:c r="D52" s="15" t="str">
        <x:v>High</x:v>
      </x:c>
      <x:c r="E52" s="15" t="str">
        <x:v>Nonempty cart</x:v>
      </x:c>
      <x:c r="F52" s="15" t="str">
        <x:v>1. Return to Products from the cart.
2. Add another product.
3. Reopen the cart.</x:v>
      </x:c>
      <x:c r="G52" s="15" t="str">
        <x:v>Original items remain and the new item is added correctly.</x:v>
      </x:c>
      <x:c r="H52" s="22"/>
      <x:c r="I52" s="22" t="str">
        <x:v>Not run</x:v>
      </x:c>
      <x:c r="J52" s="22"/>
      <x:c r="K52" s="22"/>
      <x:c r="L52" s="24"/>
    </x:row>
    <x:row r="53" ht="88" customHeight="1">
      <x:c r="A53" s="19" t="str">
        <x:v>Scenario 046</x:v>
      </x:c>
      <x:c r="B53" s="19" t="str">
        <x:v>Cart</x:v>
      </x:c>
      <x:c r="C53" s="19" t="str">
        <x:v>Drawer checkout shortcut</x:v>
      </x:c>
      <x:c r="D53" s="19" t="str">
        <x:v>High</x:v>
      </x:c>
      <x:c r="E53" s="19" t="str">
        <x:v>Nonempty cart</x:v>
      </x:c>
      <x:c r="F53" s="19" t="str">
        <x:v>1. Open drawer.
2. Click Proceed to checkout.</x:v>
      </x:c>
      <x:c r="G53" s="19" t="str">
        <x:v>The customer reaches checkout directly with the same basket.</x:v>
      </x:c>
      <x:c r="H53" s="22"/>
      <x:c r="I53" s="22" t="str">
        <x:v>Not run</x:v>
      </x:c>
      <x:c r="J53" s="22"/>
      <x:c r="K53" s="22"/>
      <x:c r="L53" s="24"/>
    </x:row>
    <x:row r="54" ht="88" customHeight="1">
      <x:c r="A54" s="15" t="str">
        <x:v>Scenario 047</x:v>
      </x:c>
      <x:c r="B54" s="15" t="str">
        <x:v>Cart</x:v>
      </x:c>
      <x:c r="C54" s="15" t="str">
        <x:v>Sign in with a guest cart</x:v>
      </x:c>
      <x:c r="D54" s="15" t="str">
        <x:v>High</x:v>
      </x:c>
      <x:c r="E54" s="15" t="str">
        <x:v>Guest cart; existing test account A</x:v>
      </x:c>
      <x:c r="F54" s="15" t="str">
        <x:v>1. Add P1 while signed out.
2. Sign in as A.
3. Open cart.</x:v>
      </x:c>
      <x:c r="G54" s="15" t="str">
        <x:v>Guest basket remains available in that browser after sign-in; it is not unexpectedly duplicated or discarded.</x:v>
      </x:c>
      <x:c r="H54" s="22"/>
      <x:c r="I54" s="22" t="str">
        <x:v>Not run</x:v>
      </x:c>
      <x:c r="J54" s="22"/>
      <x:c r="K54" s="22"/>
      <x:c r="L54" s="24"/>
    </x:row>
    <x:row r="55" ht="88" customHeight="1">
      <x:c r="A55" s="19" t="str">
        <x:v>Scenario 048</x:v>
      </x:c>
      <x:c r="B55" s="19" t="str">
        <x:v>Cart</x:v>
      </x:c>
      <x:c r="C55" s="19" t="str">
        <x:v>Changed price in saved cart</x:v>
      </x:c>
      <x:c r="D55" s="19" t="str">
        <x:v>Critical</x:v>
      </x:c>
      <x:c r="E55" s="19" t="str">
        <x:v>Sandbox; owner changes P1 price after it is added</x:v>
      </x:c>
      <x:c r="F55" s="19" t="str">
        <x:v>1. Add P1 at its old price.
2. Ask owner to change the price.
3. Attempt checkout with the saved cart.</x:v>
      </x:c>
      <x:c r="G55" s="19" t="str">
        <x:v>Checkout explains the changed price and requires review/re-adding; it never silently charges more than the displayed agreed total.</x:v>
      </x:c>
      <x:c r="H55" s="22"/>
      <x:c r="I55" s="22" t="str">
        <x:v>Not run</x:v>
      </x:c>
      <x:c r="J55" s="22"/>
      <x:c r="K55" s="22"/>
      <x:c r="L55" s="24"/>
    </x:row>
    <x:row r="56" ht="88" customHeight="1">
      <x:c r="A56" s="15" t="str">
        <x:v>Scenario 049</x:v>
      </x:c>
      <x:c r="B56" s="15" t="str">
        <x:v>Cart</x:v>
      </x:c>
      <x:c r="C56" s="15" t="str">
        <x:v>Stock reduced after adding</x:v>
      </x:c>
      <x:c r="D56" s="15" t="str">
        <x:v>Critical</x:v>
      </x:c>
      <x:c r="E56" s="15" t="str">
        <x:v>Sandbox; owner reduces stock below cart quantity</x:v>
      </x:c>
      <x:c r="F56" s="15" t="str">
        <x:v>1. Add several units while available.
2. Ask owner to reduce stock.
3. Attempt checkout.</x:v>
      </x:c>
      <x:c r="G56" s="15" t="str">
        <x:v>Checkout rejects unavailable quantity with useful feedback. No paid order for stock that cannot be reserved.</x:v>
      </x:c>
      <x:c r="H56" s="22"/>
      <x:c r="I56" s="22" t="str">
        <x:v>Not run</x:v>
      </x:c>
      <x:c r="J56" s="22"/>
      <x:c r="K56" s="22"/>
      <x:c r="L56" s="24"/>
    </x:row>
    <x:row r="57" ht="88" customHeight="1">
      <x:c r="A57" s="20" t="str">
        <x:v>Scenario 050</x:v>
      </x:c>
      <x:c r="B57" s="20" t="str">
        <x:v>Account access</x:v>
      </x:c>
      <x:c r="C57" s="20" t="str">
        <x:v>Create customer account</x:v>
      </x:c>
      <x:c r="D57" s="20" t="str">
        <x:v>High</x:v>
      </x:c>
      <x:c r="E57" s="20" t="str">
        <x:v>Staging; new test inbox A</x:v>
      </x:c>
      <x:c r="F57" s="20" t="str">
        <x:v>1. Open Sign in then Create account.
2. Enter name, email and a valid password.
3. Submit and follow any verification email.</x:v>
      </x:c>
      <x:c r="G57" s="20" t="str">
        <x:v>Clear next step or success message. Account becomes usable according to the configured email-verification policy.</x:v>
      </x:c>
      <x:c r="H57" s="21"/>
      <x:c r="I57" s="21" t="str">
        <x:v>Not run</x:v>
      </x:c>
      <x:c r="J57" s="21"/>
      <x:c r="K57" s="21"/>
      <x:c r="L57" s="23"/>
    </x:row>
    <x:row r="58" ht="88" customHeight="1">
      <x:c r="A58" s="15" t="str">
        <x:v>Scenario 051</x:v>
      </x:c>
      <x:c r="B58" s="15" t="str">
        <x:v>Account access</x:v>
      </x:c>
      <x:c r="C58" s="15" t="str">
        <x:v>Registration validation</x:v>
      </x:c>
      <x:c r="D58" s="15" t="str">
        <x:v>High</x:v>
      </x:c>
      <x:c r="E58" s="15" t="str">
        <x:v>Staging; unused test inbox</x:v>
      </x:c>
      <x:c r="F58" s="15" t="str">
        <x:v>1. Try submitting blank fields.
2. Try an invalid email and a too-short password.</x:v>
      </x:c>
      <x:c r="G58" s="15" t="str">
        <x:v>Invalid submission is rejected with useful feedback; no unusable account or blank error page.</x:v>
      </x:c>
      <x:c r="H58" s="22"/>
      <x:c r="I58" s="22" t="str">
        <x:v>Not run</x:v>
      </x:c>
      <x:c r="J58" s="22"/>
      <x:c r="K58" s="22"/>
      <x:c r="L58" s="24"/>
    </x:row>
    <x:row r="59" ht="88" customHeight="1">
      <x:c r="A59" s="19" t="str">
        <x:v>Scenario 052</x:v>
      </x:c>
      <x:c r="B59" s="19" t="str">
        <x:v>Account access</x:v>
      </x:c>
      <x:c r="C59" s="19" t="str">
        <x:v>Existing email registration</x:v>
      </x:c>
      <x:c r="D59" s="19" t="str">
        <x:v>High</x:v>
      </x:c>
      <x:c r="E59" s="19" t="str">
        <x:v>Account A already exists</x:v>
      </x:c>
      <x:c r="F59" s="19" t="str">
        <x:v>1. Attempt registration again with A’s email.
2. Return to Sign in.</x:v>
      </x:c>
      <x:c r="G59" s="19" t="str">
        <x:v>Existing account is not duplicated or overwritten. Customer receives safe, useful sign-in/recovery guidance.</x:v>
      </x:c>
      <x:c r="H59" s="22"/>
      <x:c r="I59" s="22" t="str">
        <x:v>Not run</x:v>
      </x:c>
      <x:c r="J59" s="22"/>
      <x:c r="K59" s="22"/>
      <x:c r="L59" s="24"/>
    </x:row>
    <x:row r="60" ht="88" customHeight="1">
      <x:c r="A60" s="15" t="str">
        <x:v>Scenario 053</x:v>
      </x:c>
      <x:c r="B60" s="15" t="str">
        <x:v>Account access</x:v>
      </x:c>
      <x:c r="C60" s="15" t="str">
        <x:v>Email/password sign-in</x:v>
      </x:c>
      <x:c r="D60" s="15" t="str">
        <x:v>Critical</x:v>
      </x:c>
      <x:c r="E60" s="15" t="str">
        <x:v>Verified account A</x:v>
      </x:c>
      <x:c r="F60" s="15" t="str">
        <x:v>1. Sign in with A’s correct credentials.
2. Open Profile.</x:v>
      </x:c>
      <x:c r="G60" s="15" t="str">
        <x:v>Authenticated navigation appears and Profile belongs to A.</x:v>
      </x:c>
      <x:c r="H60" s="22"/>
      <x:c r="I60" s="22" t="str">
        <x:v>Not run</x:v>
      </x:c>
      <x:c r="J60" s="22"/>
      <x:c r="K60" s="22"/>
      <x:c r="L60" s="24"/>
    </x:row>
    <x:row r="61" ht="88" customHeight="1">
      <x:c r="A61" s="19" t="str">
        <x:v>Scenario 054</x:v>
      </x:c>
      <x:c r="B61" s="19" t="str">
        <x:v>Account access</x:v>
      </x:c>
      <x:c r="C61" s="19" t="str">
        <x:v>Incorrect password</x:v>
      </x:c>
      <x:c r="D61" s="19" t="str">
        <x:v>High</x:v>
      </x:c>
      <x:c r="E61" s="19" t="str">
        <x:v>Account A</x:v>
      </x:c>
      <x:c r="F61" s="19" t="str">
        <x:v>1. Attempt sign-in with an incorrect password.
2. Then use the correct password.</x:v>
      </x:c>
      <x:c r="G61" s="19" t="str">
        <x:v>Incorrect login fails without exposing private information. Correct login still works.</x:v>
      </x:c>
      <x:c r="H61" s="22"/>
      <x:c r="I61" s="22" t="str">
        <x:v>Not run</x:v>
      </x:c>
      <x:c r="J61" s="22"/>
      <x:c r="K61" s="22"/>
      <x:c r="L61" s="24"/>
    </x:row>
    <x:row r="62" ht="88" customHeight="1">
      <x:c r="A62" s="15" t="str">
        <x:v>Scenario 055</x:v>
      </x:c>
      <x:c r="B62" s="15" t="str">
        <x:v>Account access</x:v>
      </x:c>
      <x:c r="C62" s="15" t="str">
        <x:v>Email case and spaces</x:v>
      </x:c>
      <x:c r="D62" s="15" t="str">
        <x:v>Normal</x:v>
      </x:c>
      <x:c r="E62" s="15" t="str">
        <x:v>Account A</x:v>
      </x:c>
      <x:c r="F62" s="15" t="str">
        <x:v>1. Sign out.
2. Sign in using uppercase letters and spaces around the email.</x:v>
      </x:c>
      <x:c r="G62" s="15" t="str">
        <x:v>Email normalization allows access to the same account without creating another identity.</x:v>
      </x:c>
      <x:c r="H62" s="22"/>
      <x:c r="I62" s="22" t="str">
        <x:v>Not run</x:v>
      </x:c>
      <x:c r="J62" s="22"/>
      <x:c r="K62" s="22"/>
      <x:c r="L62" s="24"/>
    </x:row>
    <x:row r="63" ht="88" customHeight="1">
      <x:c r="A63" s="19" t="str">
        <x:v>Scenario 056</x:v>
      </x:c>
      <x:c r="B63" s="19" t="str">
        <x:v>Account access</x:v>
      </x:c>
      <x:c r="C63" s="19" t="str">
        <x:v>Google sign-in</x:v>
      </x:c>
      <x:c r="D63" s="19" t="str">
        <x:v>High</x:v>
      </x:c>
      <x:c r="E63" s="19" t="str">
        <x:v>Conditional: configured Google OAuth; test Google account</x:v>
      </x:c>
      <x:c r="F63" s="19" t="str">
        <x:v>1. Choose Continue with Google.
2. Complete the provider flow.
3. Repeat and cancel the provider prompt.</x:v>
      </x:c>
      <x:c r="G63" s="19" t="str">
        <x:v>Successful flow returns signed in. Cancellation leaves the store usable with no false authenticated state.</x:v>
      </x:c>
      <x:c r="H63" s="22"/>
      <x:c r="I63" s="22" t="str">
        <x:v>Not run</x:v>
      </x:c>
      <x:c r="J63" s="22"/>
      <x:c r="K63" s="22"/>
      <x:c r="L63" s="24"/>
    </x:row>
    <x:row r="64" ht="88" customHeight="1">
      <x:c r="A64" s="15" t="str">
        <x:v>Scenario 057</x:v>
      </x:c>
      <x:c r="B64" s="15" t="str">
        <x:v>Account access</x:v>
      </x:c>
      <x:c r="C64" s="15" t="str">
        <x:v>Forgot-password request</x:v>
      </x:c>
      <x:c r="D64" s="15" t="str">
        <x:v>High</x:v>
      </x:c>
      <x:c r="E64" s="15" t="str">
        <x:v>Account A inbox accessible</x:v>
      </x:c>
      <x:c r="F64" s="15" t="str">
        <x:v>1. Choose Forgot password.
2. Enter A’s email and submit.
3. Check inbox and spam.</x:v>
      </x:c>
      <x:c r="G64" s="15" t="str">
        <x:v>A recovery message/link arrives under configured email delivery. No password is disclosed on screen or by email.</x:v>
      </x:c>
      <x:c r="H64" s="22"/>
      <x:c r="I64" s="22" t="str">
        <x:v>Not run</x:v>
      </x:c>
      <x:c r="J64" s="22"/>
      <x:c r="K64" s="22"/>
      <x:c r="L64" s="24"/>
    </x:row>
    <x:row r="65" ht="88" customHeight="1">
      <x:c r="A65" s="19" t="str">
        <x:v>Scenario 058</x:v>
      </x:c>
      <x:c r="B65" s="19" t="str">
        <x:v>Account access</x:v>
      </x:c>
      <x:c r="C65" s="19" t="str">
        <x:v>Reset password successfully</x:v>
      </x:c>
      <x:c r="D65" s="19" t="str">
        <x:v>High</x:v>
      </x:c>
      <x:c r="E65" s="19" t="str">
        <x:v>Valid recovery link for A</x:v>
      </x:c>
      <x:c r="F65" s="19" t="str">
        <x:v>1. Open the latest link.
2. Enter the same new password twice.
3. Submit; sign in with new password and check old one fails.</x:v>
      </x:c>
      <x:c r="G65" s="19" t="str">
        <x:v>Password changes successfully. New credentials work; old credentials are rejected.</x:v>
      </x:c>
      <x:c r="H65" s="22"/>
      <x:c r="I65" s="22" t="str">
        <x:v>Not run</x:v>
      </x:c>
      <x:c r="J65" s="22"/>
      <x:c r="K65" s="22"/>
      <x:c r="L65" s="24"/>
    </x:row>
    <x:row r="66" ht="88" customHeight="1">
      <x:c r="A66" s="15" t="str">
        <x:v>Scenario 059</x:v>
      </x:c>
      <x:c r="B66" s="15" t="str">
        <x:v>Account access</x:v>
      </x:c>
      <x:c r="C66" s="15" t="str">
        <x:v>Reset validation and expired link</x:v>
      </x:c>
      <x:c r="D66" s="15" t="str">
        <x:v>High</x:v>
      </x:c>
      <x:c r="E66" s="15" t="str">
        <x:v>Staging; expired/used recovery link</x:v>
      </x:c>
      <x:c r="F66" s="15" t="str">
        <x:v>1. Try mismatched passwords and fewer than 6 characters on a valid form.
2. Open the expired link in a signed-out private window.</x:v>
      </x:c>
      <x:c r="G66" s="15" t="str">
        <x:v>Invalid passwords are rejected. Invalid/expired recovery does not grant access; customer can request a new link.</x:v>
      </x:c>
      <x:c r="H66" s="22"/>
      <x:c r="I66" s="22" t="str">
        <x:v>Not run</x:v>
      </x:c>
      <x:c r="J66" s="22"/>
      <x:c r="K66" s="22"/>
      <x:c r="L66" s="24"/>
    </x:row>
    <x:row r="67" ht="88" customHeight="1">
      <x:c r="A67" s="19" t="str">
        <x:v>Scenario 060</x:v>
      </x:c>
      <x:c r="B67" s="19" t="str">
        <x:v>Account access</x:v>
      </x:c>
      <x:c r="C67" s="19" t="str">
        <x:v>Sign out and private pages</x:v>
      </x:c>
      <x:c r="D67" s="19" t="str">
        <x:v>Critical</x:v>
      </x:c>
      <x:c r="E67" s="19" t="str">
        <x:v>Account A signed in</x:v>
      </x:c>
      <x:c r="F67" s="19" t="str">
        <x:v>1. Sign out.
2. Visit /profile, /orders and /wishlist.
3. Use browser Back.</x:v>
      </x:c>
      <x:c r="G67" s="19" t="str">
        <x:v>Private data is not accessible after sign-out; protected pages require authentication.</x:v>
      </x:c>
      <x:c r="H67" s="22"/>
      <x:c r="I67" s="22" t="str">
        <x:v>Not run</x:v>
      </x:c>
      <x:c r="J67" s="22"/>
      <x:c r="K67" s="22"/>
      <x:c r="L67" s="24"/>
    </x:row>
    <x:row r="68" ht="88" customHeight="1">
      <x:c r="A68" s="15" t="str">
        <x:v>Scenario 061</x:v>
      </x:c>
      <x:c r="B68" s="15" t="str">
        <x:v>Account access</x:v>
      </x:c>
      <x:c r="C68" s="15" t="str">
        <x:v>Inactivity sign-out</x:v>
      </x:c>
      <x:c r="D68" s="15" t="str">
        <x:v>Normal</x:v>
      </x:c>
      <x:c r="E68" s="15" t="str">
        <x:v>Account A; leave tab untouched</x:v>
      </x:c>
      <x:c r="F68" s="15" t="str">
        <x:v>1. Stay idle for more than 15 minutes.
2. Try opening Profile or Orders.</x:v>
      </x:c>
      <x:c r="G68" s="15" t="str">
        <x:v>Session is signed out by the store’s inactivity behavior. Customer can sign in again without a broken page.</x:v>
      </x:c>
      <x:c r="H68" s="22"/>
      <x:c r="I68" s="22" t="str">
        <x:v>Not run</x:v>
      </x:c>
      <x:c r="J68" s="22"/>
      <x:c r="K68" s="22"/>
      <x:c r="L68" s="24"/>
    </x:row>
    <x:row r="69" ht="88" customHeight="1">
      <x:c r="A69" s="20" t="str">
        <x:v>Scenario 062</x:v>
      </x:c>
      <x:c r="B69" s="20" t="str">
        <x:v>Profile and wishlist</x:v>
      </x:c>
      <x:c r="C69" s="20" t="str">
        <x:v>Edit profile</x:v>
      </x:c>
      <x:c r="D69" s="20" t="str">
        <x:v>High</x:v>
      </x:c>
      <x:c r="E69" s="20" t="str">
        <x:v>Account A</x:v>
      </x:c>
      <x:c r="F69" s="20" t="str">
        <x:v>1. Change full name, phone and date of birth.
2. Save.
3. Reload Profile.</x:v>
      </x:c>
      <x:c r="G69" s="20" t="str">
        <x:v>Success is shown only when saved; edited values persist for A.</x:v>
      </x:c>
      <x:c r="H69" s="21"/>
      <x:c r="I69" s="21" t="str">
        <x:v>Not run</x:v>
      </x:c>
      <x:c r="J69" s="21"/>
      <x:c r="K69" s="21"/>
      <x:c r="L69" s="23"/>
    </x:row>
    <x:row r="70" ht="88" customHeight="1">
      <x:c r="A70" s="15" t="str">
        <x:v>Scenario 063</x:v>
      </x:c>
      <x:c r="B70" s="15" t="str">
        <x:v>Profile and wishlist</x:v>
      </x:c>
      <x:c r="C70" s="15" t="str">
        <x:v>Marketing preference</x:v>
      </x:c>
      <x:c r="D70" s="15" t="str">
        <x:v>High</x:v>
      </x:c>
      <x:c r="E70" s="15" t="str">
        <x:v>Account A</x:v>
      </x:c>
      <x:c r="F70" s="15" t="str">
        <x:v>1. Switch marketing consent on and save.
2. Reload; then switch it off and save.
3. Reload again.</x:v>
      </x:c>
      <x:c r="G70" s="15" t="str">
        <x:v>Preference persists in both directions and is not silently re-enabled.</x:v>
      </x:c>
      <x:c r="H70" s="22"/>
      <x:c r="I70" s="22" t="str">
        <x:v>Not run</x:v>
      </x:c>
      <x:c r="J70" s="22"/>
      <x:c r="K70" s="22"/>
      <x:c r="L70" s="24"/>
    </x:row>
    <x:row r="71" ht="88" customHeight="1">
      <x:c r="A71" s="19" t="str">
        <x:v>Scenario 064</x:v>
      </x:c>
      <x:c r="B71" s="19" t="str">
        <x:v>Profile and wishlist</x:v>
      </x:c>
      <x:c r="C71" s="19" t="str">
        <x:v>Profile save failure</x:v>
      </x:c>
      <x:c r="D71" s="19" t="str">
        <x:v>Normal</x:v>
      </x:c>
      <x:c r="E71" s="19" t="str">
        <x:v>Staging; Account A; disconnect network</x:v>
      </x:c>
      <x:c r="F71" s="19" t="str">
        <x:v>1. Edit a profile field and save while offline.
2. Restore network and retry.</x:v>
      </x:c>
      <x:c r="G71" s="19" t="str">
        <x:v>Failed save is not presented as success. Retry saves the intended value once.</x:v>
      </x:c>
      <x:c r="H71" s="22"/>
      <x:c r="I71" s="22" t="str">
        <x:v>Not run</x:v>
      </x:c>
      <x:c r="J71" s="22"/>
      <x:c r="K71" s="22"/>
      <x:c r="L71" s="24"/>
    </x:row>
    <x:row r="72" ht="88" customHeight="1">
      <x:c r="A72" s="15" t="str">
        <x:v>Scenario 065</x:v>
      </x:c>
      <x:c r="B72" s="15" t="str">
        <x:v>Profile and wishlist</x:v>
      </x:c>
      <x:c r="C72" s="15" t="str">
        <x:v>Guest wishlist access</x:v>
      </x:c>
      <x:c r="D72" s="15" t="str">
        <x:v>High</x:v>
      </x:c>
      <x:c r="E72" s="15" t="str">
        <x:v>Signed out</x:v>
      </x:c>
      <x:c r="F72" s="15" t="str">
        <x:v>1. Click a product’s wishlist heart.
2. Open Wishlist from the header.</x:v>
      </x:c>
      <x:c r="G72" s="15" t="str">
        <x:v>Sign-in guidance appears; protected wishlist is not silently saved to an unrelated account.</x:v>
      </x:c>
      <x:c r="H72" s="22"/>
      <x:c r="I72" s="22" t="str">
        <x:v>Not run</x:v>
      </x:c>
      <x:c r="J72" s="22"/>
      <x:c r="K72" s="22"/>
      <x:c r="L72" s="24"/>
    </x:row>
    <x:row r="73" ht="88" customHeight="1">
      <x:c r="A73" s="19" t="str">
        <x:v>Scenario 066</x:v>
      </x:c>
      <x:c r="B73" s="19" t="str">
        <x:v>Profile and wishlist</x:v>
      </x:c>
      <x:c r="C73" s="19" t="str">
        <x:v>Save and persist wishlist</x:v>
      </x:c>
      <x:c r="D73" s="19" t="str">
        <x:v>High</x:v>
      </x:c>
      <x:c r="E73" s="19" t="str">
        <x:v>Account A; product P1</x:v>
      </x:c>
      <x:c r="F73" s="19" t="str">
        <x:v>1. Add P1 to wishlist from its product page.
2. Open Wishlist.
3. Reload, then sign out and sign back in.</x:v>
      </x:c>
      <x:c r="G73" s="19" t="str">
        <x:v>P1 appears once and remains saved for A.</x:v>
      </x:c>
      <x:c r="H73" s="22"/>
      <x:c r="I73" s="22" t="str">
        <x:v>Not run</x:v>
      </x:c>
      <x:c r="J73" s="22"/>
      <x:c r="K73" s="22"/>
      <x:c r="L73" s="24"/>
    </x:row>
    <x:row r="74" ht="88" customHeight="1">
      <x:c r="A74" s="15" t="str">
        <x:v>Scenario 067</x:v>
      </x:c>
      <x:c r="B74" s="15" t="str">
        <x:v>Profile and wishlist</x:v>
      </x:c>
      <x:c r="C74" s="15" t="str">
        <x:v>Remove wishlist item</x:v>
      </x:c>
      <x:c r="D74" s="15" t="str">
        <x:v>High</x:v>
      </x:c>
      <x:c r="E74" s="15" t="str">
        <x:v>Account A; P1 saved</x:v>
      </x:c>
      <x:c r="F74" s="15" t="str">
        <x:v>1. Remove P1 from Wishlist.
2. Reload the page.
3. Open P1 again.</x:v>
      </x:c>
      <x:c r="G74" s="15" t="str">
        <x:v>P1 is removed and the heart state agrees. Last removal produces a useful empty state.</x:v>
      </x:c>
      <x:c r="H74" s="22"/>
      <x:c r="I74" s="22" t="str">
        <x:v>Not run</x:v>
      </x:c>
      <x:c r="J74" s="22"/>
      <x:c r="K74" s="22"/>
      <x:c r="L74" s="24"/>
    </x:row>
    <x:row r="75" ht="88" customHeight="1">
      <x:c r="A75" s="19" t="str">
        <x:v>Scenario 068</x:v>
      </x:c>
      <x:c r="B75" s="19" t="str">
        <x:v>Profile and wishlist</x:v>
      </x:c>
      <x:c r="C75" s="19" t="str">
        <x:v>Wishlist product link</x:v>
      </x:c>
      <x:c r="D75" s="19" t="str">
        <x:v>High</x:v>
      </x:c>
      <x:c r="E75" s="19" t="str">
        <x:v>Account A; saved product with options</x:v>
      </x:c>
      <x:c r="F75" s="19" t="str">
        <x:v>1. Open a saved product from Wishlist.
2. Select an available option and add to cart.</x:v>
      </x:c>
      <x:c r="G75" s="19" t="str">
        <x:v>Correct detail page opens; option selection and cart flow work normally.</x:v>
      </x:c>
      <x:c r="H75" s="22"/>
      <x:c r="I75" s="22" t="str">
        <x:v>Not run</x:v>
      </x:c>
      <x:c r="J75" s="22"/>
      <x:c r="K75" s="22"/>
      <x:c r="L75" s="24"/>
    </x:row>
    <x:row r="76" ht="88" customHeight="1">
      <x:c r="A76" s="15" t="str">
        <x:v>Scenario 069</x:v>
      </x:c>
      <x:c r="B76" s="15" t="str">
        <x:v>Profile and wishlist</x:v>
      </x:c>
      <x:c r="C76" s="15" t="str">
        <x:v>Account separation</x:v>
      </x:c>
      <x:c r="D76" s="15" t="str">
        <x:v>Critical</x:v>
      </x:c>
      <x:c r="E76" s="15" t="str">
        <x:v>Two test accounts A and B</x:v>
      </x:c>
      <x:c r="F76" s="15" t="str">
        <x:v>1. Save P1 to A’s wishlist and edit A’s profile.
2. Sign out and sign in as B.
3. Inspect B’s Wishlist and Profile.</x:v>
      </x:c>
      <x:c r="G76" s="15" t="str">
        <x:v>B does not see A’s private profile or wishlist.</x:v>
      </x:c>
      <x:c r="H76" s="22"/>
      <x:c r="I76" s="22" t="str">
        <x:v>Not run</x:v>
      </x:c>
      <x:c r="J76" s="22"/>
      <x:c r="K76" s="22"/>
      <x:c r="L76" s="24"/>
    </x:row>
    <x:row r="77" ht="88" customHeight="1">
      <x:c r="A77" s="20" t="str">
        <x:v>Scenario 070</x:v>
      </x:c>
      <x:c r="B77" s="20" t="str">
        <x:v>Checkout form</x:v>
      </x:c>
      <x:c r="C77" s="20" t="str">
        <x:v>Guest checkout access</x:v>
      </x:c>
      <x:c r="D77" s="20" t="str">
        <x:v>Critical</x:v>
      </x:c>
      <x:c r="E77" s="20" t="str">
        <x:v>Guest; P1 in cart</x:v>
      </x:c>
      <x:c r="F77" s="20" t="str">
        <x:v>1. Open checkout without signing in.
2. Inspect Contact, Shipping, Payment and Summary.</x:v>
      </x:c>
      <x:c r="G77" s="20" t="str">
        <x:v>Guest can fill checkout without an account. Basket and total are correct.</x:v>
      </x:c>
      <x:c r="H77" s="21"/>
      <x:c r="I77" s="21" t="str">
        <x:v>Not run</x:v>
      </x:c>
      <x:c r="J77" s="21"/>
      <x:c r="K77" s="21"/>
      <x:c r="L77" s="23"/>
    </x:row>
    <x:row r="78" ht="88" customHeight="1">
      <x:c r="A78" s="15" t="str">
        <x:v>Scenario 071</x:v>
      </x:c>
      <x:c r="B78" s="15" t="str">
        <x:v>Checkout form</x:v>
      </x:c>
      <x:c r="C78" s="15" t="str">
        <x:v>Required contact/address fields</x:v>
      </x:c>
      <x:c r="D78" s="15" t="str">
        <x:v>High</x:v>
      </x:c>
      <x:c r="E78" s="15" t="str">
        <x:v>Sandbox payments available; P1 in cart</x:v>
      </x:c>
      <x:c r="F78" s="15" t="str">
        <x:v>1. Leave required fields blank and submit.
2. Inspect each highlighted field.
3. Complete all required fields.</x:v>
      </x:c>
      <x:c r="G78" s="15" t="str">
        <x:v>Name, email, phone, address line 1, city, postal code and country are required; errors are clear and no payment starts prematurely.</x:v>
      </x:c>
      <x:c r="H78" s="22"/>
      <x:c r="I78" s="22" t="str">
        <x:v>Not run</x:v>
      </x:c>
      <x:c r="J78" s="22"/>
      <x:c r="K78" s="22"/>
      <x:c r="L78" s="24"/>
    </x:row>
    <x:row r="79" ht="88" customHeight="1">
      <x:c r="A79" s="19" t="str">
        <x:v>Scenario 072</x:v>
      </x:c>
      <x:c r="B79" s="19" t="str">
        <x:v>Checkout form</x:v>
      </x:c>
      <x:c r="C79" s="19" t="str">
        <x:v>Invalid checkout email</x:v>
      </x:c>
      <x:c r="D79" s="19" t="str">
        <x:v>High</x:v>
      </x:c>
      <x:c r="E79" s="19" t="str">
        <x:v>Sandbox; otherwise valid checkout</x:v>
      </x:c>
      <x:c r="F79" s="19" t="str">
        <x:v>1. Enter customer@ as email.
2. Try to submit.
3. Correct to a test inbox address.</x:v>
      </x:c>
      <x:c r="G79" s="19" t="str">
        <x:v>Invalid email blocks submission. Correcting it clears the error without losing other entries.</x:v>
      </x:c>
      <x:c r="H79" s="22"/>
      <x:c r="I79" s="22" t="str">
        <x:v>Not run</x:v>
      </x:c>
      <x:c r="J79" s="22"/>
      <x:c r="K79" s="22"/>
      <x:c r="L79" s="24"/>
    </x:row>
    <x:row r="80" ht="88" customHeight="1">
      <x:c r="A80" s="15" t="str">
        <x:v>Scenario 073</x:v>
      </x:c>
      <x:c r="B80" s="15" t="str">
        <x:v>Checkout form</x:v>
      </x:c>
      <x:c r="C80" s="15" t="str">
        <x:v>Optional address and notes</x:v>
      </x:c>
      <x:c r="D80" s="15" t="str">
        <x:v>High</x:v>
      </x:c>
      <x:c r="E80" s="15" t="str">
        <x:v>Sandbox; valid customer data</x:v>
      </x:c>
      <x:c r="F80" s="15" t="str">
        <x:v>1. Leave address line 2, region and notes blank.
2. Continue to provider then cancel.
3. Repeat with apartment details and a short note.</x:v>
      </x:c>
      <x:c r="G80" s="15" t="str">
        <x:v>Optional blanks do not block checkout. Supplied details are retained correctly in the resulting order.</x:v>
      </x:c>
      <x:c r="H80" s="22"/>
      <x:c r="I80" s="22" t="str">
        <x:v>Not run</x:v>
      </x:c>
      <x:c r="J80" s="22"/>
      <x:c r="K80" s="22"/>
      <x:c r="L80" s="24"/>
    </x:row>
    <x:row r="81" ht="88" customHeight="1">
      <x:c r="A81" s="19" t="str">
        <x:v>Scenario 074</x:v>
      </x:c>
      <x:c r="B81" s="19" t="str">
        <x:v>Checkout form</x:v>
      </x:c>
      <x:c r="C81" s="19" t="str">
        <x:v>International characters</x:v>
      </x:c>
      <x:c r="D81" s="19" t="str">
        <x:v>Normal</x:v>
      </x:c>
      <x:c r="E81" s="19" t="str">
        <x:v>Sandbox; approved destination</x:v>
      </x:c>
      <x:c r="F81" s="19" t="str">
        <x:v>1. Enter a test name such as Zoë Müller and an address with accented characters.
2. Continue to a sandbox order.
3. Inspect the receipt/order details.</x:v>
      </x:c>
      <x:c r="G81" s="19" t="str">
        <x:v>Characters remain readable and unchanged; no encoding corruption or data loss.</x:v>
      </x:c>
      <x:c r="H81" s="22"/>
      <x:c r="I81" s="22" t="str">
        <x:v>Not run</x:v>
      </x:c>
      <x:c r="J81" s="22"/>
      <x:c r="K81" s="22"/>
      <x:c r="L81" s="24"/>
    </x:row>
    <x:row r="82" ht="88" customHeight="1">
      <x:c r="A82" s="15" t="str">
        <x:v>Scenario 075</x:v>
      </x:c>
      <x:c r="B82" s="15" t="str">
        <x:v>Checkout form</x:v>
      </x:c>
      <x:c r="C82" s="15" t="str">
        <x:v>Below free-shipping threshold</x:v>
      </x:c>
      <x:c r="D82" s="15" t="str">
        <x:v>Critical</x:v>
      </x:c>
      <x:c r="E82" s="15" t="str">
        <x:v>Sandbox fixture basket subtotal €49.99</x:v>
      </x:c>
      <x:c r="F82" s="15" t="str">
        <x:v>1. Open checkout.
2. Check subtotal, shipping and total.</x:v>
      </x:c>
      <x:c r="G82" s="15" t="str">
        <x:v>Current rule: shipping €5.99; total €55.98. Verify the owner still approves this shipping policy.</x:v>
      </x:c>
      <x:c r="H82" s="22"/>
      <x:c r="I82" s="22" t="str">
        <x:v>Not run</x:v>
      </x:c>
      <x:c r="J82" s="22"/>
      <x:c r="K82" s="22"/>
      <x:c r="L82" s="24"/>
    </x:row>
    <x:row r="83" ht="88" customHeight="1">
      <x:c r="A83" s="19" t="str">
        <x:v>Scenario 076</x:v>
      </x:c>
      <x:c r="B83" s="19" t="str">
        <x:v>Checkout form</x:v>
      </x:c>
      <x:c r="C83" s="19" t="str">
        <x:v>Exactly at shipping threshold</x:v>
      </x:c>
      <x:c r="D83" s="19" t="str">
        <x:v>Critical</x:v>
      </x:c>
      <x:c r="E83" s="19" t="str">
        <x:v>Sandbox fixture basket subtotal €50.00</x:v>
      </x:c>
      <x:c r="F83" s="19" t="str">
        <x:v>1. Open checkout.
2. Check the summary and provider amount.</x:v>
      </x:c>
      <x:c r="G83" s="19" t="str">
        <x:v>Current rule is strictly ABOVE €50: shipping €5.99; total €55.99. No false free-shipping claim at exactly €50.</x:v>
      </x:c>
      <x:c r="H83" s="22"/>
      <x:c r="I83" s="22" t="str">
        <x:v>Not run</x:v>
      </x:c>
      <x:c r="J83" s="22"/>
      <x:c r="K83" s="22"/>
      <x:c r="L83" s="24"/>
    </x:row>
    <x:row r="84" ht="88" customHeight="1">
      <x:c r="A84" s="15" t="str">
        <x:v>Scenario 077</x:v>
      </x:c>
      <x:c r="B84" s="15" t="str">
        <x:v>Checkout form</x:v>
      </x:c>
      <x:c r="C84" s="15" t="str">
        <x:v>Above free-shipping threshold</x:v>
      </x:c>
      <x:c r="D84" s="15" t="str">
        <x:v>Critical</x:v>
      </x:c>
      <x:c r="E84" s="15" t="str">
        <x:v>Sandbox fixture basket subtotal €50.01</x:v>
      </x:c>
      <x:c r="F84" s="15" t="str">
        <x:v>1. Open checkout.
2. Check the summary and provider amount.</x:v>
      </x:c>
      <x:c r="G84" s="15" t="str">
        <x:v>Shipping €0.00; total €50.01. Rule matches any shipping banner and the payment provider.</x:v>
      </x:c>
      <x:c r="H84" s="22"/>
      <x:c r="I84" s="22" t="str">
        <x:v>Not run</x:v>
      </x:c>
      <x:c r="J84" s="22"/>
      <x:c r="K84" s="22"/>
      <x:c r="L84" s="24"/>
    </x:row>
    <x:row r="85" ht="88" customHeight="1">
      <x:c r="A85" s="19" t="str">
        <x:v>Scenario 078</x:v>
      </x:c>
      <x:c r="B85" s="19" t="str">
        <x:v>Checkout form</x:v>
      </x:c>
      <x:c r="C85" s="19" t="str">
        <x:v>Shipping recalculates</x:v>
      </x:c>
      <x:c r="D85" s="19" t="str">
        <x:v>High</x:v>
      </x:c>
      <x:c r="E85" s="19" t="str">
        <x:v>Basket can cross €50 by changing quantity</x:v>
      </x:c>
      <x:c r="F85" s="19" t="str">
        <x:v>1. Increase quantity to exceed €50.
2. Decrease to €50 or less.</x:v>
      </x:c>
      <x:c r="G85" s="19" t="str">
        <x:v>Shipping toggles between €0.00 and €5.99 and the total updates immediately and correctly.</x:v>
      </x:c>
      <x:c r="H85" s="22"/>
      <x:c r="I85" s="22" t="str">
        <x:v>Not run</x:v>
      </x:c>
      <x:c r="J85" s="22"/>
      <x:c r="K85" s="22"/>
      <x:c r="L85" s="24"/>
    </x:row>
    <x:row r="86" ht="88" customHeight="1">
      <x:c r="A86" s="15" t="str">
        <x:v>Scenario 079</x:v>
      </x:c>
      <x:c r="B86" s="15" t="str">
        <x:v>Checkout form</x:v>
      </x:c>
      <x:c r="C86" s="15" t="str">
        <x:v>Allowed and blocked countries</x:v>
      </x:c>
      <x:c r="D86" s="15" t="str">
        <x:v>High</x:v>
      </x:c>
      <x:c r="E86" s="15" t="str">
        <x:v>Sandbox; owner supplies SHIPPING_COUNTRIES rules</x:v>
      </x:c>
      <x:c r="F86" s="15" t="str">
        <x:v>1. Select an allowed destination and continue.
2. Cancel; select a destination outside the configured allowlist and submit.</x:v>
      </x:c>
      <x:c r="G86" s="15" t="str">
        <x:v>Allowed destinations work. Blocked destination cannot create a payable order and receives clear guidance. If no allowlist exists, owner must approve supported regions/rates.</x:v>
      </x:c>
      <x:c r="H86" s="22"/>
      <x:c r="I86" s="22" t="str">
        <x:v>Not run</x:v>
      </x:c>
      <x:c r="J86" s="22"/>
      <x:c r="K86" s="22"/>
      <x:c r="L86" s="24"/>
    </x:row>
    <x:row r="87" ht="88" customHeight="1">
      <x:c r="A87" s="19" t="str">
        <x:v>Scenario 080</x:v>
      </x:c>
      <x:c r="B87" s="19" t="str">
        <x:v>Checkout form</x:v>
      </x:c>
      <x:c r="C87" s="19" t="str">
        <x:v>Saved address</x:v>
      </x:c>
      <x:c r="D87" s="19" t="str">
        <x:v>High</x:v>
      </x:c>
      <x:c r="E87" s="19" t="str">
        <x:v>Account A; sandbox; no saved address</x:v>
      </x:c>
      <x:c r="F87" s="19" t="str">
        <x:v>1. Enter a new address and choose to save it.
2. Proceed to provider then cancel.
3. Reopen checkout while signed in.</x:v>
      </x:c>
      <x:c r="G87" s="19" t="str">
        <x:v>Saved address becomes available and correctly prefills/selects all address fields. Payment cancellation does not corrupt the address.</x:v>
      </x:c>
      <x:c r="H87" s="22"/>
      <x:c r="I87" s="22" t="str">
        <x:v>Not run</x:v>
      </x:c>
      <x:c r="J87" s="22"/>
      <x:c r="K87" s="22"/>
      <x:c r="L87" s="24"/>
    </x:row>
    <x:row r="88" ht="88" customHeight="1">
      <x:c r="A88" s="15" t="str">
        <x:v>Scenario 081</x:v>
      </x:c>
      <x:c r="B88" s="15" t="str">
        <x:v>Checkout form</x:v>
      </x:c>
      <x:c r="C88" s="15" t="str">
        <x:v>Address selection and manual entry</x:v>
      </x:c>
      <x:c r="D88" s="15" t="str">
        <x:v>High</x:v>
      </x:c>
      <x:c r="E88" s="15" t="str">
        <x:v>Account A with two saved test addresses</x:v>
      </x:c>
      <x:c r="F88" s="15" t="str">
        <x:v>1. Select each saved address.
2. Choose New address and type another.
3. Wait for loading to finish.</x:v>
      </x:c>
      <x:c r="G88" s="15" t="str">
        <x:v>Selection fills the intended address. New typed data is not unexpectedly overwritten by late-loading saved data.</x:v>
      </x:c>
      <x:c r="H88" s="22"/>
      <x:c r="I88" s="22" t="str">
        <x:v>Not run</x:v>
      </x:c>
      <x:c r="J88" s="22"/>
      <x:c r="K88" s="22"/>
      <x:c r="L88" s="24"/>
    </x:row>
    <x:row r="89" ht="88" customHeight="1">
      <x:c r="A89" s="19" t="str">
        <x:v>Scenario 082</x:v>
      </x:c>
      <x:c r="B89" s="19" t="str">
        <x:v>Checkout form</x:v>
      </x:c>
      <x:c r="C89" s="19" t="str">
        <x:v>Remembered payment method</x:v>
      </x:c>
      <x:c r="D89" s="19" t="str">
        <x:v>High</x:v>
      </x:c>
      <x:c r="E89" s="19" t="str">
        <x:v>Account A; both providers enabled</x:v>
      </x:c>
      <x:c r="F89" s="19" t="str">
        <x:v>1. Start a sandbox checkout with PayPal, then cancel.
2. Reopen checkout.
3. Owner disables that provider in staging; reopen again.</x:v>
      </x:c>
      <x:c r="G89" s="19" t="str">
        <x:v>Previously used available method may be selected. An unavailable method is never left selected as payable.</x:v>
      </x:c>
      <x:c r="H89" s="22"/>
      <x:c r="I89" s="22" t="str">
        <x:v>Not run</x:v>
      </x:c>
      <x:c r="J89" s="22"/>
      <x:c r="K89" s="22"/>
      <x:c r="L89" s="24"/>
    </x:row>
    <x:row r="90" ht="88" customHeight="1">
      <x:c r="A90" s="15" t="str">
        <x:v>Scenario 083</x:v>
      </x:c>
      <x:c r="B90" s="15" t="str">
        <x:v>Checkout form</x:v>
      </x:c>
      <x:c r="C90" s="15" t="str">
        <x:v>Payment unavailable state</x:v>
      </x:c>
      <x:c r="D90" s="15" t="str">
        <x:v>Critical</x:v>
      </x:c>
      <x:c r="E90" s="15" t="str">
        <x:v>Staging; owner disables credentials or migration is unavailable</x:v>
      </x:c>
      <x:c r="F90" s="15" t="str">
        <x:v>1. Open checkout with items.
2. Inspect methods and Place order.
3. Reload and inspect basket.</x:v>
      </x:c>
      <x:c r="G90" s="15" t="str">
        <x:v>Unavailable methods and submission are disabled; clear notice appears and cart remains saved. Required production payments being unavailable is a release blocker.</x:v>
      </x:c>
      <x:c r="H90" s="22"/>
      <x:c r="I90" s="22" t="str">
        <x:v>Not run</x:v>
      </x:c>
      <x:c r="J90" s="22"/>
      <x:c r="K90" s="22"/>
      <x:c r="L90" s="24"/>
    </x:row>
    <x:row r="91" ht="88" customHeight="1">
      <x:c r="A91" s="19" t="str">
        <x:v>Scenario 084</x:v>
      </x:c>
      <x:c r="B91" s="19" t="str">
        <x:v>Checkout form</x:v>
      </x:c>
      <x:c r="C91" s="19" t="str">
        <x:v>Edit cart from checkout</x:v>
      </x:c>
      <x:c r="D91" s="19" t="str">
        <x:v>High</x:v>
      </x:c>
      <x:c r="E91" s="19" t="str">
        <x:v>Nonempty cart</x:v>
      </x:c>
      <x:c r="F91" s="19" t="str">
        <x:v>1. Click Edit cart in checkout.
2. Change items and return to checkout.</x:v>
      </x:c>
      <x:c r="G91" s="19" t="str">
        <x:v>Updated basket and total appear; removed items are not charged.</x:v>
      </x:c>
      <x:c r="H91" s="22"/>
      <x:c r="I91" s="22" t="str">
        <x:v>Not run</x:v>
      </x:c>
      <x:c r="J91" s="22"/>
      <x:c r="K91" s="22"/>
      <x:c r="L91" s="24"/>
    </x:row>
    <x:row r="92" ht="88" customHeight="1">
      <x:c r="A92" s="15" t="str">
        <x:v>Scenario 085</x:v>
      </x:c>
      <x:c r="B92" s="15" t="str">
        <x:v>Checkout form</x:v>
      </x:c>
      <x:c r="C92" s="15" t="str">
        <x:v>Policy links during checkout</x:v>
      </x:c>
      <x:c r="D92" s="15" t="str">
        <x:v>Normal</x:v>
      </x:c>
      <x:c r="E92" s="15" t="str">
        <x:v>Nonempty cart</x:v>
      </x:c>
      <x:c r="F92" s="15" t="str">
        <x:v>1. Open Shipping, Returns and Privacy from checkout.
2. Read them and return with browser Back.</x:v>
      </x:c>
      <x:c r="G92" s="15" t="str">
        <x:v>Correct policies open and basket is preserved. Policies do not contradict visible shipping/payment promises.</x:v>
      </x:c>
      <x:c r="H92" s="22"/>
      <x:c r="I92" s="22" t="str">
        <x:v>Not run</x:v>
      </x:c>
      <x:c r="J92" s="22"/>
      <x:c r="K92" s="22"/>
      <x:c r="L92" s="24"/>
    </x:row>
    <x:row r="93" ht="88" customHeight="1">
      <x:c r="A93" s="20" t="str">
        <x:v>Scenario 086</x:v>
      </x:c>
      <x:c r="B93" s="20" t="str">
        <x:v>Payments and recovery</x:v>
      </x:c>
      <x:c r="C93" s="20" t="str">
        <x:v>Guest card payment succeeds</x:v>
      </x:c>
      <x:c r="D93" s="20" t="str">
        <x:v>Critical</x:v>
      </x:c>
      <x:c r="E93" s="20" t="str">
        <x:v>SANDBOX ONLY; guest; test Visa from Guide</x:v>
      </x:c>
      <x:c r="F93" s="20" t="str">
        <x:v>1. Fill valid checkout and choose Card.
2. Submit once and complete sandbox payment.
3. Wait for the return page.</x:v>
      </x:c>
      <x:c r="G93" s="20" t="str">
        <x:v>Guest sees a paid confirmation and order number without forced sign-in. Amount/currency match checkout; purchased quantities are removed.</x:v>
      </x:c>
      <x:c r="H93" s="21"/>
      <x:c r="I93" s="21" t="str">
        <x:v>Not run</x:v>
      </x:c>
      <x:c r="J93" s="21"/>
      <x:c r="K93" s="21"/>
      <x:c r="L93" s="23"/>
    </x:row>
    <x:row r="94" ht="88" customHeight="1">
      <x:c r="A94" s="15" t="str">
        <x:v>Scenario 087</x:v>
      </x:c>
      <x:c r="B94" s="15" t="str">
        <x:v>Payments and recovery</x:v>
      </x:c>
      <x:c r="C94" s="15" t="str">
        <x:v>Account card payment succeeds</x:v>
      </x:c>
      <x:c r="D94" s="15" t="str">
        <x:v>Critical</x:v>
      </x:c>
      <x:c r="E94" s="15" t="str">
        <x:v>SANDBOX ONLY; Account A</x:v>
      </x:c>
      <x:c r="F94" s="15" t="str">
        <x:v>1. Complete a card payment while signed in.
2. Open Orders and the new order.</x:v>
      </x:c>
      <x:c r="G94" s="15" t="str">
        <x:v>Exactly one order appears with correct products, quantities, EUR total, address and paid status.</x:v>
      </x:c>
      <x:c r="H94" s="22"/>
      <x:c r="I94" s="22" t="str">
        <x:v>Not run</x:v>
      </x:c>
      <x:c r="J94" s="22"/>
      <x:c r="K94" s="22"/>
      <x:c r="L94" s="24"/>
    </x:row>
    <x:row r="95" ht="88" customHeight="1">
      <x:c r="A95" s="19" t="str">
        <x:v>Scenario 088</x:v>
      </x:c>
      <x:c r="B95" s="19" t="str">
        <x:v>Payments and recovery</x:v>
      </x:c>
      <x:c r="C95" s="19" t="str">
        <x:v>Declined card</x:v>
      </x:c>
      <x:c r="D95" s="19" t="str">
        <x:v>Critical</x:v>
      </x:c>
      <x:c r="E95" s="19" t="str">
        <x:v>SANDBOX ONLY; decline card from Guide</x:v>
      </x:c>
      <x:c r="F95" s="19" t="str">
        <x:v>1. Choose Card and submit the decline card.
2. Read the error and return to the store.</x:v>
      </x:c>
      <x:c r="G95" s="19" t="str">
        <x:v>Clear payment failure; no paid confirmation. Basket remains recoverable and retry is possible.</x:v>
      </x:c>
      <x:c r="H95" s="22"/>
      <x:c r="I95" s="22" t="str">
        <x:v>Not run</x:v>
      </x:c>
      <x:c r="J95" s="22"/>
      <x:c r="K95" s="22"/>
      <x:c r="L95" s="24"/>
    </x:row>
    <x:row r="96" ht="88" customHeight="1">
      <x:c r="A96" s="15" t="str">
        <x:v>Scenario 089</x:v>
      </x:c>
      <x:c r="B96" s="15" t="str">
        <x:v>Payments and recovery</x:v>
      </x:c>
      <x:c r="C96" s="15" t="str">
        <x:v>Card authentication succeeds</x:v>
      </x:c>
      <x:c r="D96" s="15" t="str">
        <x:v>Critical</x:v>
      </x:c>
      <x:c r="E96" s="15" t="str">
        <x:v>SANDBOX ONLY; 3DS test card from provider docs</x:v>
      </x:c>
      <x:c r="F96" s="15" t="str">
        <x:v>1. Pay using a card requiring authentication.
2. Complete the test authentication challenge.</x:v>
      </x:c>
      <x:c r="G96" s="15" t="str">
        <x:v>Authentication is required and successful payment returns to a verified paid confirmation.</x:v>
      </x:c>
      <x:c r="H96" s="22"/>
      <x:c r="I96" s="22" t="str">
        <x:v>Not run</x:v>
      </x:c>
      <x:c r="J96" s="22"/>
      <x:c r="K96" s="22"/>
      <x:c r="L96" s="24"/>
    </x:row>
    <x:row r="97" ht="88" customHeight="1">
      <x:c r="A97" s="19" t="str">
        <x:v>Scenario 090</x:v>
      </x:c>
      <x:c r="B97" s="19" t="str">
        <x:v>Payments and recovery</x:v>
      </x:c>
      <x:c r="C97" s="19" t="str">
        <x:v>Card authentication cancelled</x:v>
      </x:c>
      <x:c r="D97" s="19" t="str">
        <x:v>Critical</x:v>
      </x:c>
      <x:c r="E97" s="19" t="str">
        <x:v>SANDBOX ONLY; 3DS test card</x:v>
      </x:c>
      <x:c r="F97" s="19" t="str">
        <x:v>1. Start authentication.
2. Cancel or fail the challenge.
3. Return to checkout.</x:v>
      </x:c>
      <x:c r="G97" s="19" t="str">
        <x:v>No false success or paid status. Shopper receives a recoverable failure and retains the basket.</x:v>
      </x:c>
      <x:c r="H97" s="22"/>
      <x:c r="I97" s="22" t="str">
        <x:v>Not run</x:v>
      </x:c>
      <x:c r="J97" s="22"/>
      <x:c r="K97" s="22"/>
      <x:c r="L97" s="24"/>
    </x:row>
    <x:row r="98" ht="88" customHeight="1">
      <x:c r="A98" s="15" t="str">
        <x:v>Scenario 091</x:v>
      </x:c>
      <x:c r="B98" s="15" t="str">
        <x:v>Payments and recovery</x:v>
      </x:c>
      <x:c r="C98" s="15" t="str">
        <x:v>Cancel hosted card checkout</x:v>
      </x:c>
      <x:c r="D98" s="15" t="str">
        <x:v>Critical</x:v>
      </x:c>
      <x:c r="E98" s="15" t="str">
        <x:v>SANDBOX ONLY; provider page open, unpaid</x:v>
      </x:c>
      <x:c r="F98" s="15" t="str">
        <x:v>1. Use the provider’s cancel/back-to-store control.
2. Wait for cancellation handling.
3. Review the cart.</x:v>
      </x:c>
      <x:c r="G98" s="15" t="str">
        <x:v>Returns to checkout with basket intact; cancelled order is not shown as paid. New checkout is possible once cancellation completes.</x:v>
      </x:c>
      <x:c r="H98" s="22"/>
      <x:c r="I98" s="22" t="str">
        <x:v>Not run</x:v>
      </x:c>
      <x:c r="J98" s="22"/>
      <x:c r="K98" s="22"/>
      <x:c r="L98" s="24"/>
    </x:row>
    <x:row r="99" ht="88" customHeight="1">
      <x:c r="A99" s="19" t="str">
        <x:v>Scenario 092</x:v>
      </x:c>
      <x:c r="B99" s="19" t="str">
        <x:v>Payments and recovery</x:v>
      </x:c>
      <x:c r="C99" s="19" t="str">
        <x:v>PayPal succeeds</x:v>
      </x:c>
      <x:c r="D99" s="19" t="str">
        <x:v>Critical</x:v>
      </x:c>
      <x:c r="E99" s="19" t="str">
        <x:v>SANDBOX ONLY; PayPal personal sandbox buyer</x:v>
      </x:c>
      <x:c r="F99" s="19" t="str">
        <x:v>1. Choose PayPal and continue.
2. Sign in using the sandbox buyer and approve.
3. Return to the store.</x:v>
      </x:c>
      <x:c r="G99" s="19" t="str">
        <x:v>One verified paid order/confirmation appears; correct total and currency; purchased quantities are removed.</x:v>
      </x:c>
      <x:c r="H99" s="22"/>
      <x:c r="I99" s="22" t="str">
        <x:v>Not run</x:v>
      </x:c>
      <x:c r="J99" s="22"/>
      <x:c r="K99" s="22"/>
      <x:c r="L99" s="24"/>
    </x:row>
    <x:row r="100" ht="88" customHeight="1">
      <x:c r="A100" s="15" t="str">
        <x:v>Scenario 093</x:v>
      </x:c>
      <x:c r="B100" s="15" t="str">
        <x:v>Payments and recovery</x:v>
      </x:c>
      <x:c r="C100" s="15" t="str">
        <x:v>PayPal cancelled</x:v>
      </x:c>
      <x:c r="D100" s="15" t="str">
        <x:v>Critical</x:v>
      </x:c>
      <x:c r="E100" s="15" t="str">
        <x:v>SANDBOX ONLY; sandbox buyer</x:v>
      </x:c>
      <x:c r="F100" s="15" t="str">
        <x:v>1. Choose PayPal.
2. Cancel before approval.
3. Return to the store.</x:v>
      </x:c>
      <x:c r="G100" s="15" t="str">
        <x:v>No paid confirmation; cart remains available and cancellation/retry is understandable.</x:v>
      </x:c>
      <x:c r="H100" s="22"/>
      <x:c r="I100" s="22" t="str">
        <x:v>Not run</x:v>
      </x:c>
      <x:c r="J100" s="22"/>
      <x:c r="K100" s="22"/>
      <x:c r="L100" s="24"/>
    </x:row>
    <x:row r="101" ht="88" customHeight="1">
      <x:c r="A101" s="19" t="str">
        <x:v>Scenario 094</x:v>
      </x:c>
      <x:c r="B101" s="19" t="str">
        <x:v>Payments and recovery</x:v>
      </x:c>
      <x:c r="C101" s="19" t="str">
        <x:v>Reload PayPal return</x:v>
      </x:c>
      <x:c r="D101" s="19" t="str">
        <x:v>Critical</x:v>
      </x:c>
      <x:c r="E101" s="19" t="str">
        <x:v>SANDBOX ONLY; successful PayPal return</x:v>
      </x:c>
      <x:c r="F101" s="19" t="str">
        <x:v>1. Record order number and total.
2. Reload the return page twice.
3. Open Orders if signed in.</x:v>
      </x:c>
      <x:c r="G101" s="19" t="str">
        <x:v>Same order is shown. No duplicate capture or duplicate order; owner confirms a single sandbox transaction.</x:v>
      </x:c>
      <x:c r="H101" s="22"/>
      <x:c r="I101" s="22" t="str">
        <x:v>Not run</x:v>
      </x:c>
      <x:c r="J101" s="22"/>
      <x:c r="K101" s="22"/>
      <x:c r="L101" s="24"/>
    </x:row>
    <x:row r="102" ht="88" customHeight="1">
      <x:c r="A102" s="15" t="str">
        <x:v>Scenario 095</x:v>
      </x:c>
      <x:c r="B102" s="15" t="str">
        <x:v>Payments and recovery</x:v>
      </x:c>
      <x:c r="C102" s="15" t="str">
        <x:v>Double-click order submission</x:v>
      </x:c>
      <x:c r="D102" s="15" t="str">
        <x:v>Critical</x:v>
      </x:c>
      <x:c r="E102" s="15" t="str">
        <x:v>SANDBOX ONLY; valid checkout</x:v>
      </x:c>
      <x:c r="F102" s="15" t="str">
        <x:v>1. Double-click Place order quickly.
2. Complete at most one provider payment.
3. Check confirmation and account history.</x:v>
      </x:c>
      <x:c r="G102" s="15" t="str">
        <x:v>Submission is guarded; retries reuse the same attempt. Only one payable order/charge results; owner verifies provider count.</x:v>
      </x:c>
      <x:c r="H102" s="22"/>
      <x:c r="I102" s="22" t="str">
        <x:v>Not run</x:v>
      </x:c>
      <x:c r="J102" s="22"/>
      <x:c r="K102" s="22"/>
      <x:c r="L102" s="24"/>
    </x:row>
    <x:row r="103" ht="88" customHeight="1">
      <x:c r="A103" s="19" t="str">
        <x:v>Scenario 096</x:v>
      </x:c>
      <x:c r="B103" s="19" t="str">
        <x:v>Payments and recovery</x:v>
      </x:c>
      <x:c r="C103" s="19" t="str">
        <x:v>Switch method after cancellation</x:v>
      </x:c>
      <x:c r="D103" s="19" t="str">
        <x:v>High</x:v>
      </x:c>
      <x:c r="E103" s="19" t="str">
        <x:v>SANDBOX ONLY; both providers enabled</x:v>
      </x:c>
      <x:c r="F103" s="19" t="str">
        <x:v>1. Start Card then cancel back to store.
2. Select PayPal and complete payment.</x:v>
      </x:c>
      <x:c r="G103" s="19" t="str">
        <x:v>Previous attempt is safely cancelled before changing method. One successful order remains and no duplicate charge occurs.</x:v>
      </x:c>
      <x:c r="H103" s="22"/>
      <x:c r="I103" s="22" t="str">
        <x:v>Not run</x:v>
      </x:c>
      <x:c r="J103" s="22"/>
      <x:c r="K103" s="22"/>
      <x:c r="L103" s="24"/>
    </x:row>
    <x:row r="104" ht="88" customHeight="1">
      <x:c r="A104" s="15" t="str">
        <x:v>Scenario 097</x:v>
      </x:c>
      <x:c r="B104" s="15" t="str">
        <x:v>Payments and recovery</x:v>
      </x:c>
      <x:c r="C104" s="15" t="str">
        <x:v>Return page refreshed</x:v>
      </x:c>
      <x:c r="D104" s="15" t="str">
        <x:v>Critical</x:v>
      </x:c>
      <x:c r="E104" s="15" t="str">
        <x:v>SANDBOX ONLY; successful card order</x:v>
      </x:c>
      <x:c r="F104" s="15" t="str">
        <x:v>1. Record order number.
2. Reload confirmation several times.
3. Use Back/Forward without submitting another order.</x:v>
      </x:c>
      <x:c r="G104" s="15" t="str">
        <x:v>No repeat charge, order or cart subtraction. Confirmation remains consistent with verified payment.</x:v>
      </x:c>
      <x:c r="H104" s="22"/>
      <x:c r="I104" s="22" t="str">
        <x:v>Not run</x:v>
      </x:c>
      <x:c r="J104" s="22"/>
      <x:c r="K104" s="22"/>
      <x:c r="L104" s="24"/>
    </x:row>
    <x:row r="105" ht="88" customHeight="1">
      <x:c r="A105" s="19" t="str">
        <x:v>Scenario 098</x:v>
      </x:c>
      <x:c r="B105" s="19" t="str">
        <x:v>Payments and recovery</x:v>
      </x:c>
      <x:c r="C105" s="19" t="str">
        <x:v>Additional cart item during payment</x:v>
      </x:c>
      <x:c r="D105" s="19" t="str">
        <x:v>High</x:v>
      </x:c>
      <x:c r="E105" s="19" t="str">
        <x:v>SANDBOX ONLY; two tabs in the same browser</x:v>
      </x:c>
      <x:c r="F105" s="19" t="str">
        <x:v>1. Start checkout for P1 in tab A.
2. While provider is open, add a different product in tab B.
3. Complete payment in tab A and inspect cart.</x:v>
      </x:c>
      <x:c r="G105" s="19" t="str">
        <x:v>Only quantities purchased by this attempt are removed. The later-added different product remains in the cart.</x:v>
      </x:c>
      <x:c r="H105" s="22"/>
      <x:c r="I105" s="22" t="str">
        <x:v>Not run</x:v>
      </x:c>
      <x:c r="J105" s="22"/>
      <x:c r="K105" s="22"/>
      <x:c r="L105" s="24"/>
    </x:row>
    <x:row r="106" ht="88" customHeight="1">
      <x:c r="A106" s="15" t="str">
        <x:v>Scenario 099</x:v>
      </x:c>
      <x:c r="B106" s="15" t="str">
        <x:v>Payments and recovery</x:v>
      </x:c>
      <x:c r="C106" s="15" t="str">
        <x:v>Page closed after payment</x:v>
      </x:c>
      <x:c r="D106" s="15" t="str">
        <x:v>Critical</x:v>
      </x:c>
      <x:c r="E106" s="15" t="str">
        <x:v>SANDBOX ONLY; signed-in A; owner observes provider</x:v>
      </x:c>
      <x:c r="F106" s="15" t="str">
        <x:v>1. Complete provider payment and close the return tab.
2. Reopen the store and Orders.
3. Ask owner to confirm provider/webhook status if pending.</x:v>
      </x:c>
      <x:c r="G106" s="15" t="str">
        <x:v>Payment is eventually reflected as paid without needing a second charge. Do not submit another payment merely because return was interrupted.</x:v>
      </x:c>
      <x:c r="H106" s="22"/>
      <x:c r="I106" s="22" t="str">
        <x:v>Not run</x:v>
      </x:c>
      <x:c r="J106" s="22"/>
      <x:c r="K106" s="22"/>
      <x:c r="L106" s="24"/>
    </x:row>
    <x:row r="107" ht="88" customHeight="1">
      <x:c r="A107" s="19" t="str">
        <x:v>Scenario 100</x:v>
      </x:c>
      <x:c r="B107" s="19" t="str">
        <x:v>Payments and recovery</x:v>
      </x:c>
      <x:c r="C107" s="19" t="str">
        <x:v>Payment delayed or interrupted</x:v>
      </x:c>
      <x:c r="D107" s="19" t="str">
        <x:v>Critical</x:v>
      </x:c>
      <x:c r="E107" s="19" t="str">
        <x:v>SANDBOX ONLY; owner can delay confirmation</x:v>
      </x:c>
      <x:c r="F107" s="19" t="str">
        <x:v>1. Complete sandbox payment while owner delays confirmation.
2. Observe return page and retry status once.
3. Owner restores confirmation.</x:v>
      </x:c>
      <x:c r="G107" s="19" t="str">
        <x:v>Page shows pending/verification guidance rather than false paid/failed claims. Once verified, the same order becomes paid.</x:v>
      </x:c>
      <x:c r="H107" s="22"/>
      <x:c r="I107" s="22" t="str">
        <x:v>Not run</x:v>
      </x:c>
      <x:c r="J107" s="22"/>
      <x:c r="K107" s="22"/>
      <x:c r="L107" s="24"/>
    </x:row>
    <x:row r="108" ht="88" customHeight="1">
      <x:c r="A108" s="15" t="str">
        <x:v>Scenario 101</x:v>
      </x:c>
      <x:c r="B108" s="15" t="str">
        <x:v>Payments and recovery</x:v>
      </x:c>
      <x:c r="C108" s="15" t="str">
        <x:v>Expired unpaid session</x:v>
      </x:c>
      <x:c r="D108" s="15" t="str">
        <x:v>High</x:v>
      </x:c>
      <x:c r="E108" s="15" t="str">
        <x:v>SANDBOX ONLY; owner assists with expiry</x:v>
      </x:c>
      <x:c r="F108" s="15" t="str">
        <x:v>1. Open hosted Card checkout and leave it unpaid until it expires (about one hour).
2. Return and attempt to continue.
3. Record recovery message.</x:v>
      </x:c>
      <x:c r="G108" s="15" t="str">
        <x:v>Expired session cannot charge. Customer gets clear restart/support guidance; order is not falsely marked paid.</x:v>
      </x:c>
      <x:c r="H108" s="22"/>
      <x:c r="I108" s="22" t="str">
        <x:v>Not run</x:v>
      </x:c>
      <x:c r="J108" s="22"/>
      <x:c r="K108" s="22"/>
      <x:c r="L108" s="24"/>
    </x:row>
    <x:row r="109" ht="88" customHeight="1">
      <x:c r="A109" s="19" t="str">
        <x:v>Scenario 102</x:v>
      </x:c>
      <x:c r="B109" s="19" t="str">
        <x:v>Payments and recovery</x:v>
      </x:c>
      <x:c r="C109" s="19" t="str">
        <x:v>Wallet on supported device</x:v>
      </x:c>
      <x:c r="D109" s="19" t="str">
        <x:v>High</x:v>
      </x:c>
      <x:c r="E109" s="19" t="str">
        <x:v>Conditional; SANDBOX; Apple Pay/Google Pay eligible device/account</x:v>
      </x:c>
      <x:c r="F109" s="19" t="str">
        <x:v>1. Open checkout on the supported device.
2. If a wallet button is offered, open it and complete a sandbox purchase.</x:v>
      </x:c>
      <x:c r="G109" s="19" t="str">
        <x:v>Wallet sheet opens, collects required details, and creates one verified order with the correct total. No inert/fake wallet button.</x:v>
      </x:c>
      <x:c r="H109" s="22"/>
      <x:c r="I109" s="22" t="str">
        <x:v>Not run</x:v>
      </x:c>
      <x:c r="J109" s="22"/>
      <x:c r="K109" s="22"/>
      <x:c r="L109" s="24"/>
    </x:row>
    <x:row r="110" ht="88" customHeight="1">
      <x:c r="A110" s="15" t="str">
        <x:v>Scenario 103</x:v>
      </x:c>
      <x:c r="B110" s="15" t="str">
        <x:v>Payments and recovery</x:v>
      </x:c>
      <x:c r="C110" s="15" t="str">
        <x:v>Wallet absent on unsupported device</x:v>
      </x:c>
      <x:c r="D110" s="15" t="str">
        <x:v>Normal</x:v>
      </x:c>
      <x:c r="E110" s="15" t="str">
        <x:v>Browser/device without an eligible wallet</x:v>
      </x:c>
      <x:c r="F110" s="15" t="str">
        <x:v>1. Open checkout.
2. Inspect express-payment area and normal methods.</x:v>
      </x:c>
      <x:c r="G110" s="15" t="str">
        <x:v>Unsupported wallet is hidden; normal configured card/PayPal checkout remains usable.</x:v>
      </x:c>
      <x:c r="H110" s="22"/>
      <x:c r="I110" s="22" t="str">
        <x:v>Not run</x:v>
      </x:c>
      <x:c r="J110" s="22"/>
      <x:c r="K110" s="22"/>
      <x:c r="L110" s="24"/>
    </x:row>
    <x:row r="111" ht="88" customHeight="1">
      <x:c r="A111" s="19" t="str">
        <x:v>Scenario 104</x:v>
      </x:c>
      <x:c r="B111" s="19" t="str">
        <x:v>Payments and recovery</x:v>
      </x:c>
      <x:c r="C111" s="19" t="str">
        <x:v>Guest receipt access protection</x:v>
      </x:c>
      <x:c r="D111" s="19" t="str">
        <x:v>Critical</x:v>
      </x:c>
      <x:c r="E111" s="19" t="str">
        <x:v>SANDBOX; paid guest receipt in browser A</x:v>
      </x:c>
      <x:c r="F111" s="19" t="str">
        <x:v>1. Open the guest receipt URL in the original browser.
2. Copy it into an unrelated signed-out private browser.</x:v>
      </x:c>
      <x:c r="G111" s="19" t="str">
        <x:v>Original browser can read its receipt. Unrelated browser cannot see private receipt/customer data using only the URL.</x:v>
      </x:c>
      <x:c r="H111" s="22"/>
      <x:c r="I111" s="22" t="str">
        <x:v>Not run</x:v>
      </x:c>
      <x:c r="J111" s="22"/>
      <x:c r="K111" s="22"/>
      <x:c r="L111" s="24"/>
    </x:row>
    <x:row r="112" ht="88" customHeight="1">
      <x:c r="A112" s="15" t="str">
        <x:v>Scenario 105</x:v>
      </x:c>
      <x:c r="B112" s="15" t="str">
        <x:v>Payments and recovery</x:v>
      </x:c>
      <x:c r="C112" s="15" t="str">
        <x:v>Last available unit race</x:v>
      </x:c>
      <x:c r="D112" s="15" t="str">
        <x:v>Critical</x:v>
      </x:c>
      <x:c r="E112" s="15" t="str">
        <x:v>SANDBOX; stock=1; two separate test shoppers; owner assistance</x:v>
      </x:c>
      <x:c r="F112" s="15" t="str">
        <x:v>1. Both shoppers add the last unit.
2. Both attempt checkout closely together.
3. Complete only the successfully reserved sandbox order.</x:v>
      </x:c>
      <x:c r="G112" s="15" t="str">
        <x:v>At most one order reserves/buys the final unit. Other shopper gets stock feedback; no overselling or duplicate stock allocation.</x:v>
      </x:c>
      <x:c r="H112" s="22"/>
      <x:c r="I112" s="22" t="str">
        <x:v>Not run</x:v>
      </x:c>
      <x:c r="J112" s="22"/>
      <x:c r="K112" s="22"/>
      <x:c r="L112" s="24"/>
    </x:row>
    <x:row r="113" ht="88" customHeight="1">
      <x:c r="A113" s="20" t="str">
        <x:v>Scenario 106</x:v>
      </x:c>
      <x:c r="B113" s="20" t="str">
        <x:v>Orders and after-sales</x:v>
      </x:c>
      <x:c r="C113" s="20" t="str">
        <x:v>Empty order history</x:v>
      </x:c>
      <x:c r="D113" s="20" t="str">
        <x:v>High</x:v>
      </x:c>
      <x:c r="E113" s="20" t="str">
        <x:v>New account B with no orders</x:v>
      </x:c>
      <x:c r="F113" s="20" t="str">
        <x:v>1. Sign in as B.
2. Open Orders.</x:v>
      </x:c>
      <x:c r="G113" s="20" t="str">
        <x:v>Clear empty state and shopping route; no other customer’s orders are visible.</x:v>
      </x:c>
      <x:c r="H113" s="21"/>
      <x:c r="I113" s="21" t="str">
        <x:v>Not run</x:v>
      </x:c>
      <x:c r="J113" s="21"/>
      <x:c r="K113" s="21"/>
      <x:c r="L113" s="23"/>
    </x:row>
    <x:row r="114" ht="88" customHeight="1">
      <x:c r="A114" s="15" t="str">
        <x:v>Scenario 107</x:v>
      </x:c>
      <x:c r="B114" s="15" t="str">
        <x:v>Orders and after-sales</x:v>
      </x:c>
      <x:c r="C114" s="15" t="str">
        <x:v>Order list and detail</x:v>
      </x:c>
      <x:c r="D114" s="15" t="str">
        <x:v>Critical</x:v>
      </x:c>
      <x:c r="E114" s="15" t="str">
        <x:v>Account A with successful sandbox order</x:v>
      </x:c>
      <x:c r="F114" s="15" t="str">
        <x:v>1. Open Orders then the order.
2. Compare number, items, variants, quantities, shipping and total with the original checkout.</x:v>
      </x:c>
      <x:c r="G114" s="15" t="str">
        <x:v>List and details agree with the purchase. Payment status is separate from fulfillment progress.</x:v>
      </x:c>
      <x:c r="H114" s="22"/>
      <x:c r="I114" s="22" t="str">
        <x:v>Not run</x:v>
      </x:c>
      <x:c r="J114" s="22"/>
      <x:c r="K114" s="22"/>
      <x:c r="L114" s="24"/>
    </x:row>
    <x:row r="115" ht="88" customHeight="1">
      <x:c r="A115" s="19" t="str">
        <x:v>Scenario 108</x:v>
      </x:c>
      <x:c r="B115" s="19" t="str">
        <x:v>Orders and after-sales</x:v>
      </x:c>
      <x:c r="C115" s="19" t="str">
        <x:v>Delivery progress</x:v>
      </x:c>
      <x:c r="D115" s="19" t="str">
        <x:v>High</x:v>
      </x:c>
      <x:c r="E115" s="19" t="str">
        <x:v>Sandbox; owner updates a test order through fulfillment</x:v>
      </x:c>
      <x:c r="F115" s="19" t="str">
        <x:v>1. Open the order after owner sets Ordered, Packaging, Out for delivery and Delivered.
2. Reload after each update.</x:v>
      </x:c>
      <x:c r="G115" s="19" t="str">
        <x:v>Tracker and labels reflect the actual status; completed stages are consistent and no invalid date appears.</x:v>
      </x:c>
      <x:c r="H115" s="22"/>
      <x:c r="I115" s="22" t="str">
        <x:v>Not run</x:v>
      </x:c>
      <x:c r="J115" s="22"/>
      <x:c r="K115" s="22"/>
      <x:c r="L115" s="24"/>
    </x:row>
    <x:row r="116" ht="88" customHeight="1">
      <x:c r="A116" s="15" t="str">
        <x:v>Scenario 109</x:v>
      </x:c>
      <x:c r="B116" s="15" t="str">
        <x:v>Orders and after-sales</x:v>
      </x:c>
      <x:c r="C116" s="15" t="str">
        <x:v>Cancelled order display</x:v>
      </x:c>
      <x:c r="D116" s="15" t="str">
        <x:v>High</x:v>
      </x:c>
      <x:c r="E116" s="15" t="str">
        <x:v>Sandbox; owner cancels an unpaid test order</x:v>
      </x:c>
      <x:c r="F116" s="15" t="str">
        <x:v>1. Open the cancelled order as its customer.
2. Inspect status and progress.</x:v>
      </x:c>
      <x:c r="G116" s="15" t="str">
        <x:v>Cancelled state is clearly shown; order is not presented as delivered or successfully paid.</x:v>
      </x:c>
      <x:c r="H116" s="22"/>
      <x:c r="I116" s="22" t="str">
        <x:v>Not run</x:v>
      </x:c>
      <x:c r="J116" s="22"/>
      <x:c r="K116" s="22"/>
      <x:c r="L116" s="24"/>
    </x:row>
    <x:row r="117" ht="88" customHeight="1">
      <x:c r="A117" s="19" t="str">
        <x:v>Scenario 110</x:v>
      </x:c>
      <x:c r="B117" s="19" t="str">
        <x:v>Orders and after-sales</x:v>
      </x:c>
      <x:c r="C117" s="19" t="str">
        <x:v>Order access from another account</x:v>
      </x:c>
      <x:c r="D117" s="19" t="str">
        <x:v>Critical</x:v>
      </x:c>
      <x:c r="E117" s="19" t="str">
        <x:v>Sandbox; A’s order URL; account B</x:v>
      </x:c>
      <x:c r="F117" s="19" t="str">
        <x:v>1. Copy A’s order-detail URL.
2. Sign out; sign in as B and open that URL.</x:v>
      </x:c>
      <x:c r="G117" s="19" t="str">
        <x:v>B cannot view A’s order, address or payment details.</x:v>
      </x:c>
      <x:c r="H117" s="22"/>
      <x:c r="I117" s="22" t="str">
        <x:v>Not run</x:v>
      </x:c>
      <x:c r="J117" s="22"/>
      <x:c r="K117" s="22"/>
      <x:c r="L117" s="24"/>
    </x:row>
    <x:row r="118" ht="88" customHeight="1">
      <x:c r="A118" s="15" t="str">
        <x:v>Scenario 111</x:v>
      </x:c>
      <x:c r="B118" s="15" t="str">
        <x:v>Orders and after-sales</x:v>
      </x:c>
      <x:c r="C118" s="15" t="str">
        <x:v>Receipt email if configured</x:v>
      </x:c>
      <x:c r="D118" s="15" t="str">
        <x:v>High</x:v>
      </x:c>
      <x:c r="E118" s="15" t="str">
        <x:v>Conditional; sandbox mail delivery enabled by owner</x:v>
      </x:c>
      <x:c r="F118" s="15" t="str">
        <x:v>1. Complete one sandbox order using your test inbox.
2. Check inbox/spam.
3. Compare any receipt email to the order.</x:v>
      </x:c>
      <x:c r="G118" s="15" t="str">
        <x:v>If receipts are offered/configured, email arrives once with matching order number/total. Missing configured mail is a failure; an unimplemented email feature is N/A with a note.</x:v>
      </x:c>
      <x:c r="H118" s="22"/>
      <x:c r="I118" s="22" t="str">
        <x:v>Not run</x:v>
      </x:c>
      <x:c r="J118" s="22"/>
      <x:c r="K118" s="22"/>
      <x:c r="L118" s="24"/>
    </x:row>
    <x:row r="119" ht="88" customHeight="1">
      <x:c r="A119" s="19" t="str">
        <x:v>Scenario 112</x:v>
      </x:c>
      <x:c r="B119" s="19" t="str">
        <x:v>Orders and after-sales</x:v>
      </x:c>
      <x:c r="C119" s="19" t="str">
        <x:v>Return/refund request journey</x:v>
      </x:c>
      <x:c r="D119" s="19" t="str">
        <x:v>High</x:v>
      </x:c>
      <x:c r="E119" s="19" t="str">
        <x:v>Conditional; owner agrees to sandbox after-sales test</x:v>
      </x:c>
      <x:c r="F119" s="19" t="str">
        <x:v>1. Read Returns and follow the published contact process for a test order.
2. Owner processes the agreed sandbox refund.
3. Check customer communications and provider record.</x:v>
      </x:c>
      <x:c r="G119" s="19" t="str">
        <x:v>Request route and eligibility guidance are clear. Any promised refund/status matches the owner-confirmed sandbox outcome; do not assume a self-service refund button exists.</x:v>
      </x:c>
      <x:c r="H119" s="22"/>
      <x:c r="I119" s="22" t="str">
        <x:v>Not run</x:v>
      </x:c>
      <x:c r="J119" s="22"/>
      <x:c r="K119" s="22"/>
      <x:c r="L119" s="24"/>
    </x:row>
    <x:row r="120" ht="88" customHeight="1">
      <x:c r="A120" s="17" t="str">
        <x:v>Scenario 113</x:v>
      </x:c>
      <x:c r="B120" s="17" t="str">
        <x:v>Reviews and support</x:v>
      </x:c>
      <x:c r="C120" s="17" t="str">
        <x:v>Read product reviews</x:v>
      </x:c>
      <x:c r="D120" s="17" t="str">
        <x:v>Normal</x:v>
      </x:c>
      <x:c r="E120" s="17" t="str">
        <x:v>One reviewed product and one with no reviews</x:v>
      </x:c>
      <x:c r="F120" s="17" t="str">
        <x:v>1. Read reviews, rating average and review count.
2. Open the product with no reviews.</x:v>
      </x:c>
      <x:c r="G120" s="17" t="str">
        <x:v>Review data is consistent; no fabricated ratings/testimonials are shown. No-review state is clear.</x:v>
      </x:c>
      <x:c r="H120" s="21"/>
      <x:c r="I120" s="21" t="str">
        <x:v>Not run</x:v>
      </x:c>
      <x:c r="J120" s="21"/>
      <x:c r="K120" s="21"/>
      <x:c r="L120" s="23"/>
    </x:row>
    <x:row r="121" ht="88" customHeight="1">
      <x:c r="A121" s="19" t="str">
        <x:v>Scenario 114</x:v>
      </x:c>
      <x:c r="B121" s="19" t="str">
        <x:v>Reviews and support</x:v>
      </x:c>
      <x:c r="C121" s="19" t="str">
        <x:v>Guest tries to review</x:v>
      </x:c>
      <x:c r="D121" s="19" t="str">
        <x:v>High</x:v>
      </x:c>
      <x:c r="E121" s="19" t="str">
        <x:v>Signed out</x:v>
      </x:c>
      <x:c r="F121" s="19" t="str">
        <x:v>1. Open a product and choose Write a review.</x:v>
      </x:c>
      <x:c r="G121" s="19" t="str">
        <x:v>Customer is asked to sign in; no review is falsely submitted.</x:v>
      </x:c>
      <x:c r="H121" s="22"/>
      <x:c r="I121" s="22" t="str">
        <x:v>Not run</x:v>
      </x:c>
      <x:c r="J121" s="22"/>
      <x:c r="K121" s="22"/>
      <x:c r="L121" s="24"/>
    </x:row>
    <x:row r="122" ht="88" customHeight="1">
      <x:c r="A122" s="15" t="str">
        <x:v>Scenario 115</x:v>
      </x:c>
      <x:c r="B122" s="15" t="str">
        <x:v>Reviews and support</x:v>
      </x:c>
      <x:c r="C122" s="15" t="str">
        <x:v>Submit and update review</x:v>
      </x:c>
      <x:c r="D122" s="15" t="str">
        <x:v>High</x:v>
      </x:c>
      <x:c r="E122" s="15" t="str">
        <x:v>Staging; Account A; use obvious test text</x:v>
      </x:c>
      <x:c r="F122" s="15" t="str">
        <x:v>1. Choose a rating and enter a short title/body.
2. Submit and reload.
3. Submit an updated review for the same product.</x:v>
      </x:c>
      <x:c r="G122" s="15" t="str">
        <x:v>Review is saved according to the store flow. Updating replaces A’s prior review rather than multiplying it; summary/count remain consistent.</x:v>
      </x:c>
      <x:c r="H122" s="22"/>
      <x:c r="I122" s="22" t="str">
        <x:v>Not run</x:v>
      </x:c>
      <x:c r="J122" s="22"/>
      <x:c r="K122" s="22"/>
      <x:c r="L122" s="24"/>
    </x:row>
    <x:row r="123" ht="88" customHeight="1">
      <x:c r="A123" s="19" t="str">
        <x:v>Scenario 116</x:v>
      </x:c>
      <x:c r="B123" s="19" t="str">
        <x:v>Reviews and support</x:v>
      </x:c>
      <x:c r="C123" s="19" t="str">
        <x:v>Review validation</x:v>
      </x:c>
      <x:c r="D123" s="19" t="str">
        <x:v>Normal</x:v>
      </x:c>
      <x:c r="E123" s="19" t="str">
        <x:v>Staging; Account A</x:v>
      </x:c>
      <x:c r="F123" s="19" t="str">
        <x:v>1. Submit with no rating.
2. Try title over 120 characters and body over 2,000 characters.</x:v>
      </x:c>
      <x:c r="G123" s="19" t="str">
        <x:v>Missing rating and excessive text are blocked or clearly constrained; no crash or silent success.</x:v>
      </x:c>
      <x:c r="H123" s="22"/>
      <x:c r="I123" s="22" t="str">
        <x:v>Not run</x:v>
      </x:c>
      <x:c r="J123" s="22"/>
      <x:c r="K123" s="22"/>
      <x:c r="L123" s="24"/>
    </x:row>
    <x:row r="124" ht="88" customHeight="1">
      <x:c r="A124" s="15" t="str">
        <x:v>Scenario 117</x:v>
      </x:c>
      <x:c r="B124" s="15" t="str">
        <x:v>Reviews and support</x:v>
      </x:c>
      <x:c r="C124" s="15" t="str">
        <x:v>Verified-purchase label</x:v>
      </x:c>
      <x:c r="D124" s="15" t="str">
        <x:v>High</x:v>
      </x:c>
      <x:c r="E124" s="15" t="str">
        <x:v>Sandbox; A has paid purchase; B only unpaid/cancelled attempt</x:v>
      </x:c>
      <x:c r="F124" s="15" t="str">
        <x:v>1. Post a review as each account for the same product.
2. Compare verification labels.</x:v>
      </x:c>
      <x:c r="G124" s="15" t="str">
        <x:v>Verified-purchase badge should reflect a genuine paid purchase, not merely an unpaid/cancelled order. Treat incorrect badges as a defect.</x:v>
      </x:c>
      <x:c r="H124" s="22"/>
      <x:c r="I124" s="22" t="str">
        <x:v>Not run</x:v>
      </x:c>
      <x:c r="J124" s="22"/>
      <x:c r="K124" s="22"/>
      <x:c r="L124" s="24"/>
    </x:row>
    <x:row r="125" ht="88" customHeight="1">
      <x:c r="A125" s="19" t="str">
        <x:v>Scenario 118</x:v>
      </x:c>
      <x:c r="B125" s="19" t="str">
        <x:v>Reviews and support</x:v>
      </x:c>
      <x:c r="C125" s="19" t="str">
        <x:v>Contact form succeeds</x:v>
      </x:c>
      <x:c r="D125" s="19" t="str">
        <x:v>High</x:v>
      </x:c>
      <x:c r="E125" s="19" t="str">
        <x:v>Staging or owner-approved test contact message</x:v>
      </x:c>
      <x:c r="F125" s="19" t="str">
        <x:v>1. Fill name, email, subject and message with TEST text.
2. Submit once.</x:v>
      </x:c>
      <x:c r="G125" s="19" t="str">
        <x:v>Success appears and fields reset. Owner confirms one message arrived in the store inbox/system; UI success alone does not prove delivery.</x:v>
      </x:c>
      <x:c r="H125" s="22"/>
      <x:c r="I125" s="22" t="str">
        <x:v>Not run</x:v>
      </x:c>
      <x:c r="J125" s="22"/>
      <x:c r="K125" s="22"/>
      <x:c r="L125" s="24"/>
    </x:row>
    <x:row r="126" ht="88" customHeight="1">
      <x:c r="A126" s="15" t="str">
        <x:v>Scenario 119</x:v>
      </x:c>
      <x:c r="B126" s="15" t="str">
        <x:v>Reviews and support</x:v>
      </x:c>
      <x:c r="C126" s="15" t="str">
        <x:v>Contact validation and failure</x:v>
      </x:c>
      <x:c r="D126" s="15" t="str">
        <x:v>High</x:v>
      </x:c>
      <x:c r="E126" s="15" t="str">
        <x:v>Staging</x:v>
      </x:c>
      <x:c r="F126" s="15" t="str">
        <x:v>1. Try blank fields and malformed email.
2. Fill valid data; disconnect network and submit.
3. Restore connection and retry.</x:v>
      </x:c>
      <x:c r="G126" s="15" t="str">
        <x:v>Invalid data is blocked. Failed submission is not presented as success; customer can retry without losing the message unnecessarily.</x:v>
      </x:c>
      <x:c r="H126" s="22"/>
      <x:c r="I126" s="22" t="str">
        <x:v>Not run</x:v>
      </x:c>
      <x:c r="J126" s="22"/>
      <x:c r="K126" s="22"/>
      <x:c r="L126" s="24"/>
    </x:row>
    <x:row r="127" ht="88" customHeight="1">
      <x:c r="A127" s="19" t="str">
        <x:v>Scenario 120</x:v>
      </x:c>
      <x:c r="B127" s="19" t="str">
        <x:v>Reviews and support</x:v>
      </x:c>
      <x:c r="C127" s="19" t="str">
        <x:v>Newsletter subscription</x:v>
      </x:c>
      <x:c r="D127" s="19" t="str">
        <x:v>High</x:v>
      </x:c>
      <x:c r="E127" s="19" t="str">
        <x:v>Staging; test inbox</x:v>
      </x:c>
      <x:c r="F127" s="19" t="str">
        <x:v>1. Enter a valid email in homepage newsletter form.
2. Subscribe once.</x:v>
      </x:c>
      <x:c r="G127" s="19" t="str">
        <x:v>Clear confirmation appears. Owner can confirm saved subscription; do not expect a welcome email unless configured.</x:v>
      </x:c>
      <x:c r="H127" s="22"/>
      <x:c r="I127" s="22" t="str">
        <x:v>Not run</x:v>
      </x:c>
      <x:c r="J127" s="22"/>
      <x:c r="K127" s="22"/>
      <x:c r="L127" s="24"/>
    </x:row>
    <x:row r="128" ht="88" customHeight="1">
      <x:c r="A128" s="15" t="str">
        <x:v>Scenario 121</x:v>
      </x:c>
      <x:c r="B128" s="15" t="str">
        <x:v>Reviews and support</x:v>
      </x:c>
      <x:c r="C128" s="15" t="str">
        <x:v>Newsletter duplicate and invalid email</x:v>
      </x:c>
      <x:c r="D128" s="15" t="str">
        <x:v>Normal</x:v>
      </x:c>
      <x:c r="E128" s="15" t="str">
        <x:v>Same test inbox already subscribed</x:v>
      </x:c>
      <x:c r="F128" s="15" t="str">
        <x:v>1. Subscribe with the same email again.
2. Then try malformed email text.</x:v>
      </x:c>
      <x:c r="G128" s="15" t="str">
        <x:v>Duplicate gets an already-subscribed response instead of an error/duplicate record. Invalid email is rejected.</x:v>
      </x:c>
      <x:c r="H128" s="22"/>
      <x:c r="I128" s="22" t="str">
        <x:v>Not run</x:v>
      </x:c>
      <x:c r="J128" s="22"/>
      <x:c r="K128" s="22"/>
      <x:c r="L128" s="24"/>
    </x:row>
    <x:row r="129" ht="88" customHeight="1">
      <x:c r="A129" s="19" t="str">
        <x:v>Scenario 122</x:v>
      </x:c>
      <x:c r="B129" s="19" t="str">
        <x:v>Reviews and support</x:v>
      </x:c>
      <x:c r="C129" s="19" t="str">
        <x:v>Email and telephone links</x:v>
      </x:c>
      <x:c r="D129" s="19" t="str">
        <x:v>Normal</x:v>
      </x:c>
      <x:c r="E129" s="19" t="str">
        <x:v>Device with mail/phone handlers</x:v>
      </x:c>
      <x:c r="F129" s="19" t="str">
        <x:v>1. Click displayed support email.
2. Cancel the draft, then click phone link and cancel the call prompt.</x:v>
      </x:c>
      <x:c r="G129" s="19" t="str">
        <x:v>Correct address/number opens in the relevant app. No accidental form submission; actual sending/calling is unnecessary.</x:v>
      </x:c>
      <x:c r="H129" s="22"/>
      <x:c r="I129" s="22" t="str">
        <x:v>Not run</x:v>
      </x:c>
      <x:c r="J129" s="22"/>
      <x:c r="K129" s="22"/>
      <x:c r="L129" s="24"/>
    </x:row>
    <x:row r="130" ht="88" customHeight="1">
      <x:c r="A130" s="15" t="str">
        <x:v>Scenario 123</x:v>
      </x:c>
      <x:c r="B130" s="15" t="str">
        <x:v>Reviews and support</x:v>
      </x:c>
      <x:c r="C130" s="15" t="str">
        <x:v>WhatsApp support shortcut</x:v>
      </x:c>
      <x:c r="D130" s="15" t="str">
        <x:v>Normal</x:v>
      </x:c>
      <x:c r="E130" s="15" t="str">
        <x:v>Conditional: shortcut is configured</x:v>
      </x:c>
      <x:c r="F130" s="15" t="str">
        <x:v>1. Open the shortcut from a product/public page and inspect recipient.
2. Return to Cart and Checkout.</x:v>
      </x:c>
      <x:c r="G130" s="15" t="str">
        <x:v>Configured support conversation opens. Shortcut is absent on cart/checkout and does not cover buying controls.</x:v>
      </x:c>
      <x:c r="H130" s="22"/>
      <x:c r="I130" s="22" t="str">
        <x:v>Not run</x:v>
      </x:c>
      <x:c r="J130" s="22"/>
      <x:c r="K130" s="22"/>
      <x:c r="L130" s="24"/>
    </x:row>
    <x:row r="131" ht="88" customHeight="1">
      <x:c r="A131" s="19" t="str">
        <x:v>Scenario 124</x:v>
      </x:c>
      <x:c r="B131" s="19" t="str">
        <x:v>Reviews and support</x:v>
      </x:c>
      <x:c r="C131" s="19" t="str">
        <x:v>Information pages and FAQ</x:v>
      </x:c>
      <x:c r="D131" s="19" t="str">
        <x:v>Normal</x:v>
      </x:c>
      <x:c r="E131" s="19" t="str">
        <x:v>Guest</x:v>
      </x:c>
      <x:c r="F131" s="19" t="str">
        <x:v>1. Read About, Shipping, Returns and Privacy.
2. Expand/collapse every FAQ section.</x:v>
      </x:c>
      <x:c r="G131" s="19" t="str">
        <x:v>Pages and FAQ controls work; policy text, contact details and shipping promises are consistent and readable.</x:v>
      </x:c>
      <x:c r="H131" s="22"/>
      <x:c r="I131" s="22" t="str">
        <x:v>Not run</x:v>
      </x:c>
      <x:c r="J131" s="22"/>
      <x:c r="K131" s="22"/>
      <x:c r="L131" s="24"/>
    </x:row>
    <x:row r="132" ht="88" customHeight="1">
      <x:c r="A132" s="15" t="str">
        <x:v>Scenario 125</x:v>
      </x:c>
      <x:c r="B132" s="15" t="str">
        <x:v>Reviews and support</x:v>
      </x:c>
      <x:c r="C132" s="15" t="str">
        <x:v>Journal list and article</x:v>
      </x:c>
      <x:c r="D132" s="15" t="str">
        <x:v>Normal</x:v>
      </x:c>
      <x:c r="E132" s="15" t="str">
        <x:v>Conditional: at least one published article</x:v>
      </x:c>
      <x:c r="F132" s="15" t="str">
        <x:v>1. Open Journal then an article.
2. Use its links and return to the list.
3. Open an invalid article URL.</x:v>
      </x:c>
      <x:c r="G132" s="15" t="str">
        <x:v>Published article title/body/images load correctly; navigation works. Missing article gets a helpful not-found response.</x:v>
      </x:c>
      <x:c r="H132" s="22"/>
      <x:c r="I132" s="22" t="str">
        <x:v>Not run</x:v>
      </x:c>
      <x:c r="J132" s="22"/>
      <x:c r="K132" s="22"/>
      <x:c r="L132" s="24"/>
    </x:row>
    <x:row r="133" ht="88" customHeight="1">
      <x:c r="A133" s="20" t="str">
        <x:v>Scenario 126</x:v>
      </x:c>
      <x:c r="B133" s="20" t="str">
        <x:v>Language and display</x:v>
      </x:c>
      <x:c r="C133" s="20" t="str">
        <x:v>English and German</x:v>
      </x:c>
      <x:c r="D133" s="20" t="str">
        <x:v>High</x:v>
      </x:c>
      <x:c r="E133" s="20" t="str">
        <x:v>Guest; desktop and mobile</x:v>
      </x:c>
      <x:c r="F133" s="20" t="str">
        <x:v>1. Switch EN to DE.
2. Visit Products, Cart, Checkout and Auth.
3. Switch back to EN.</x:v>
      </x:c>
      <x:c r="G133" s="20" t="str">
        <x:v>Interface labels/messages update; no raw translation keys or broken layout. Product editorial copy may stay in its authored language.</x:v>
      </x:c>
      <x:c r="H133" s="21"/>
      <x:c r="I133" s="21" t="str">
        <x:v>Not run</x:v>
      </x:c>
      <x:c r="J133" s="21"/>
      <x:c r="K133" s="21"/>
      <x:c r="L133" s="23"/>
    </x:row>
    <x:row r="134" ht="88" customHeight="1">
      <x:c r="A134" s="15" t="str">
        <x:v>Scenario 127</x:v>
      </x:c>
      <x:c r="B134" s="15" t="str">
        <x:v>Language and display</x:v>
      </x:c>
      <x:c r="C134" s="15" t="str">
        <x:v>Language persists</x:v>
      </x:c>
      <x:c r="D134" s="15" t="str">
        <x:v>Normal</x:v>
      </x:c>
      <x:c r="E134" s="15" t="str">
        <x:v>German selected</x:v>
      </x:c>
      <x:c r="F134" s="15" t="str">
        <x:v>1. Reload and navigate to another page.
2. Reopen the browser normally.</x:v>
      </x:c>
      <x:c r="G134" s="15" t="str">
        <x:v>Chosen language persists in the same browser and remains consistent across pages.</x:v>
      </x:c>
      <x:c r="H134" s="22"/>
      <x:c r="I134" s="22" t="str">
        <x:v>Not run</x:v>
      </x:c>
      <x:c r="J134" s="22"/>
      <x:c r="K134" s="22"/>
      <x:c r="L134" s="24"/>
    </x:row>
    <x:row r="135" ht="88" customHeight="1">
      <x:c r="A135" s="19" t="str">
        <x:v>Scenario 128</x:v>
      </x:c>
      <x:c r="B135" s="19" t="str">
        <x:v>Language and display</x:v>
      </x:c>
      <x:c r="C135" s="19" t="str">
        <x:v>Display currency choices</x:v>
      </x:c>
      <x:c r="D135" s="19" t="str">
        <x:v>High</x:v>
      </x:c>
      <x:c r="E135" s="19" t="str">
        <x:v>A product with known EUR price</x:v>
      </x:c>
      <x:c r="F135" s="19" t="str">
        <x:v>1. Select EUR, USD and GBP, then inspect each remaining currency option.
2. Open product and cart.</x:v>
      </x:c>
      <x:c r="G135" s="19" t="str">
        <x:v>Chosen code/symbol is clear; prices format sensibly and stay consistent. Unsupported/missing rates fall back visibly to EUR without NaN/undefined.</x:v>
      </x:c>
      <x:c r="H135" s="22"/>
      <x:c r="I135" s="22" t="str">
        <x:v>Not run</x:v>
      </x:c>
      <x:c r="J135" s="22"/>
      <x:c r="K135" s="22"/>
      <x:c r="L135" s="24"/>
    </x:row>
    <x:row r="136" ht="88" customHeight="1">
      <x:c r="A136" s="15" t="str">
        <x:v>Scenario 129</x:v>
      </x:c>
      <x:c r="B136" s="15" t="str">
        <x:v>Language and display</x:v>
      </x:c>
      <x:c r="C136" s="15" t="str">
        <x:v>Currency persistence and charge currency</x:v>
      </x:c>
      <x:c r="D136" s="15" t="str">
        <x:v>Critical</x:v>
      </x:c>
      <x:c r="E136" s="15" t="str">
        <x:v>USD or GBP selected; sandbox checkout</x:v>
      </x:c>
      <x:c r="F136" s="15" t="str">
        <x:v>1. Reload the page.
2. Proceed to checkout and inspect provider amount.</x:v>
      </x:c>
      <x:c r="G136" s="15" t="str">
        <x:v>Display preference persists. Checkout clearly states EUR charging; provider charge equals authoritative EUR total, not the converted display figure.</x:v>
      </x:c>
      <x:c r="H136" s="22"/>
      <x:c r="I136" s="22" t="str">
        <x:v>Not run</x:v>
      </x:c>
      <x:c r="J136" s="22"/>
      <x:c r="K136" s="22"/>
      <x:c r="L136" s="24"/>
    </x:row>
    <x:row r="137" ht="88" customHeight="1">
      <x:c r="A137" s="19" t="str">
        <x:v>Scenario 130</x:v>
      </x:c>
      <x:c r="B137" s="19" t="str">
        <x:v>Language and display</x:v>
      </x:c>
      <x:c r="C137" s="19" t="str">
        <x:v>Light and dark themes</x:v>
      </x:c>
      <x:c r="D137" s="19" t="str">
        <x:v>Normal</x:v>
      </x:c>
      <x:c r="E137" s="19" t="str">
        <x:v>Desktop and mobile</x:v>
      </x:c>
      <x:c r="F137" s="19" t="str">
        <x:v>1. Toggle light/dark mode.
2. Inspect product, cart, forms, errors and disabled controls.
3. Reload.</x:v>
      </x:c>
      <x:c r="G137" s="19" t="str">
        <x:v>Both themes have readable text, visible controls and correct focus/error states. Choice persists without a broken page.</x:v>
      </x:c>
      <x:c r="H137" s="22"/>
      <x:c r="I137" s="22" t="str">
        <x:v>Not run</x:v>
      </x:c>
      <x:c r="J137" s="22"/>
      <x:c r="K137" s="22"/>
      <x:c r="L137" s="24"/>
    </x:row>
    <x:row r="138" ht="88" customHeight="1">
      <x:c r="A138" s="17" t="str">
        <x:v>Scenario 131</x:v>
      </x:c>
      <x:c r="B138" s="17" t="str">
        <x:v>Mobile and accessibility</x:v>
      </x:c>
      <x:c r="C138" s="17" t="str">
        <x:v>Mobile navigation</x:v>
      </x:c>
      <x:c r="D138" s="17" t="str">
        <x:v>High</x:v>
      </x:c>
      <x:c r="E138" s="17" t="str">
        <x:v>Phone portrait; repeat landscape</x:v>
      </x:c>
      <x:c r="F138" s="17" t="str">
        <x:v>1. Open and close menu.
2. Navigate to Products, Account and Cart.
3. Return Home.</x:v>
      </x:c>
      <x:c r="G138" s="17" t="str">
        <x:v>Menu works without covering required controls after closing. Links and cart remain reachable in both orientations.</x:v>
      </x:c>
      <x:c r="H138" s="21"/>
      <x:c r="I138" s="21" t="str">
        <x:v>Not run</x:v>
      </x:c>
      <x:c r="J138" s="21"/>
      <x:c r="K138" s="21"/>
      <x:c r="L138" s="23"/>
    </x:row>
    <x:row r="139" ht="88" customHeight="1">
      <x:c r="A139" s="19" t="str">
        <x:v>Scenario 132</x:v>
      </x:c>
      <x:c r="B139" s="19" t="str">
        <x:v>Mobile and accessibility</x:v>
      </x:c>
      <x:c r="C139" s="19" t="str">
        <x:v>Mobile filters</x:v>
      </x:c>
      <x:c r="D139" s="19" t="str">
        <x:v>High</x:v>
      </x:c>
      <x:c r="E139" s="19" t="str">
        <x:v>Phone; Products page</x:v>
      </x:c>
      <x:c r="F139" s="19" t="str">
        <x:v>1. Expand filters, choose a category/price range, then collapse.
2. Inspect and open a result.</x:v>
      </x:c>
      <x:c r="G139" s="19" t="str">
        <x:v>Filter state is clear. Results remain usable and content does not overflow horizontally.</x:v>
      </x:c>
      <x:c r="H139" s="22"/>
      <x:c r="I139" s="22" t="str">
        <x:v>Not run</x:v>
      </x:c>
      <x:c r="J139" s="22"/>
      <x:c r="K139" s="22"/>
      <x:c r="L139" s="24"/>
    </x:row>
    <x:row r="140" ht="88" customHeight="1">
      <x:c r="A140" s="15" t="str">
        <x:v>Scenario 133</x:v>
      </x:c>
      <x:c r="B140" s="15" t="str">
        <x:v>Mobile and accessibility</x:v>
      </x:c>
      <x:c r="C140" s="15" t="str">
        <x:v>Mobile product and cart</x:v>
      </x:c>
      <x:c r="D140" s="15" t="str">
        <x:v>Critical</x:v>
      </x:c>
      <x:c r="E140" s="15" t="str">
        <x:v>Phone; P2</x:v>
      </x:c>
      <x:c r="F140" s="15" t="str">
        <x:v>1. Swipe/choose media, select an option and quantity.
2. Add to cart and edit quantities.</x:v>
      </x:c>
      <x:c r="G140" s="15" t="str">
        <x:v>Controls fit the screen, are tappable and do not overlap. Selected option and price remain visible.</x:v>
      </x:c>
      <x:c r="H140" s="22"/>
      <x:c r="I140" s="22" t="str">
        <x:v>Not run</x:v>
      </x:c>
      <x:c r="J140" s="22"/>
      <x:c r="K140" s="22"/>
      <x:c r="L140" s="24"/>
    </x:row>
    <x:row r="141" ht="88" customHeight="1">
      <x:c r="A141" s="19" t="str">
        <x:v>Scenario 134</x:v>
      </x:c>
      <x:c r="B141" s="19" t="str">
        <x:v>Mobile and accessibility</x:v>
      </x:c>
      <x:c r="C141" s="19" t="str">
        <x:v>Mobile checkout layout</x:v>
      </x:c>
      <x:c r="D141" s="19" t="str">
        <x:v>Critical</x:v>
      </x:c>
      <x:c r="E141" s="19" t="str">
        <x:v>Phone about 390px wide; nonempty cart</x:v>
      </x:c>
      <x:c r="F141" s="19" t="str">
        <x:v>1. Scroll checkout from top to bottom.
2. Fill contact and shipping fields.
3. Open/close the keyboard and inspect Place order.</x:v>
      </x:c>
      <x:c r="G141" s="19" t="str">
        <x:v>Order is Contact → Shipping → Payment → Summary. No horizontal scrolling or keyboard-covered critical action; labels remain visible.</x:v>
      </x:c>
      <x:c r="H141" s="22"/>
      <x:c r="I141" s="22" t="str">
        <x:v>Not run</x:v>
      </x:c>
      <x:c r="J141" s="22"/>
      <x:c r="K141" s="22"/>
      <x:c r="L141" s="24"/>
    </x:row>
    <x:row r="142" ht="88" customHeight="1">
      <x:c r="A142" s="15" t="str">
        <x:v>Scenario 135</x:v>
      </x:c>
      <x:c r="B142" s="15" t="str">
        <x:v>Mobile and accessibility</x:v>
      </x:c>
      <x:c r="C142" s="15" t="str">
        <x:v>Keyboard-only purchase preparation</x:v>
      </x:c>
      <x:c r="D142" s="15" t="str">
        <x:v>High</x:v>
      </x:c>
      <x:c r="E142" s="15" t="str">
        <x:v>Desktop; do not pay unless sandbox</x:v>
      </x:c>
      <x:c r="F142" s="15" t="str">
        <x:v>1. Use Tab/Shift+Tab from Home through Products and a product.
2. Select options, add to cart and open checkout using Enter/Space.</x:v>
      </x:c>
      <x:c r="G142" s="15" t="str">
        <x:v>Focus is visible and logical. All essential actions work without a mouse; no keyboard trap.</x:v>
      </x:c>
      <x:c r="H142" s="22"/>
      <x:c r="I142" s="22" t="str">
        <x:v>Not run</x:v>
      </x:c>
      <x:c r="J142" s="22"/>
      <x:c r="K142" s="22"/>
      <x:c r="L142" s="24"/>
    </x:row>
    <x:row r="143" ht="88" customHeight="1">
      <x:c r="A143" s="19" t="str">
        <x:v>Scenario 136</x:v>
      </x:c>
      <x:c r="B143" s="19" t="str">
        <x:v>Mobile and accessibility</x:v>
      </x:c>
      <x:c r="C143" s="19" t="str">
        <x:v>Dialog keyboard behavior</x:v>
      </x:c>
      <x:c r="D143" s="19" t="str">
        <x:v>Normal</x:v>
      </x:c>
      <x:c r="E143" s="19" t="str">
        <x:v>Desktop; cart drawer and review/gallery dialog</x:v>
      </x:c>
      <x:c r="F143" s="19" t="str">
        <x:v>1. Open each dialog by keyboard.
2. Tab through controls.
3. Press Escape and continue tabbing.</x:v>
      </x:c>
      <x:c r="G143" s="19" t="str">
        <x:v>Focus stays usable inside the dialog and returns sensibly on close. Background actions are not accidentally triggered.</x:v>
      </x:c>
      <x:c r="H143" s="22"/>
      <x:c r="I143" s="22" t="str">
        <x:v>Not run</x:v>
      </x:c>
      <x:c r="J143" s="22"/>
      <x:c r="K143" s="22"/>
      <x:c r="L143" s="24"/>
    </x:row>
    <x:row r="144" ht="88" customHeight="1">
      <x:c r="A144" s="15" t="str">
        <x:v>Scenario 137</x:v>
      </x:c>
      <x:c r="B144" s="15" t="str">
        <x:v>Mobile and accessibility</x:v>
      </x:c>
      <x:c r="C144" s="15" t="str">
        <x:v>Zoom and readable errors</x:v>
      </x:c>
      <x:c r="D144" s="15" t="str">
        <x:v>High</x:v>
      </x:c>
      <x:c r="E144" s="15" t="str">
        <x:v>Desktop at 200% zoom</x:v>
      </x:c>
      <x:c r="F144" s="15" t="str">
        <x:v>1. Open Products, Cart and Checkout.
2. Trigger a required-field error in staging.</x:v>
      </x:c>
      <x:c r="G144" s="15" t="str">
        <x:v>Text/controls remain readable; error text is not clipped or conveyed by color alone. Shopping remains possible.</x:v>
      </x:c>
      <x:c r="H144" s="22"/>
      <x:c r="I144" s="22" t="str">
        <x:v>Not run</x:v>
      </x:c>
      <x:c r="J144" s="22"/>
      <x:c r="K144" s="22"/>
      <x:c r="L144" s="24"/>
    </x:row>
    <x:row r="145" ht="88" customHeight="1">
      <x:c r="A145" s="19" t="str">
        <x:v>Scenario 138</x:v>
      </x:c>
      <x:c r="B145" s="19" t="str">
        <x:v>Mobile and accessibility</x:v>
      </x:c>
      <x:c r="C145" s="19" t="str">
        <x:v>Screen-reader labels</x:v>
      </x:c>
      <x:c r="D145" s="19" t="str">
        <x:v>Normal</x:v>
      </x:c>
      <x:c r="E145" s="19" t="str">
        <x:v>Conditional: VoiceOver/NVDA available</x:v>
      </x:c>
      <x:c r="F145" s="19" t="str">
        <x:v>1. Read product links, option buttons, quantity controls and checkout fields.
2. Trigger an error or add-to-cart notice.</x:v>
      </x:c>
      <x:c r="G145" s="19" t="str">
        <x:v>Controls have meaningful names; selected/disabled states and key messages are understandable. No unlabeled essential button.</x:v>
      </x:c>
      <x:c r="H145" s="22"/>
      <x:c r="I145" s="22" t="str">
        <x:v>Not run</x:v>
      </x:c>
      <x:c r="J145" s="22"/>
      <x:c r="K145" s="22"/>
      <x:c r="L145" s="24"/>
    </x:row>
    <x:row r="146" ht="88" customHeight="1">
      <x:c r="A146" s="15" t="str">
        <x:v>Scenario 139</x:v>
      </x:c>
      <x:c r="B146" s="15" t="str">
        <x:v>Mobile and accessibility</x:v>
      </x:c>
      <x:c r="C146" s="15" t="str">
        <x:v>Browser compatibility journey</x:v>
      </x:c>
      <x:c r="D146" s="15" t="str">
        <x:v>Critical</x:v>
      </x:c>
      <x:c r="E146" s="15" t="str">
        <x:v>Chrome, Safari and Firefox/Edge where available</x:v>
      </x:c>
      <x:c r="F146" s="15" t="str">
        <x:v>1. On each browser repeat: search → product → add to cart → checkout.
2. In sandbox, repeat one successful payment on desktop and mobile.</x:v>
      </x:c>
      <x:c r="G146" s="15" t="str">
        <x:v>No browser-specific blocker. Record each browser/version separately in Actual result or a separate copy of this workbook.</x:v>
      </x:c>
      <x:c r="H146" s="22"/>
      <x:c r="I146" s="22" t="str">
        <x:v>Not run</x:v>
      </x:c>
      <x:c r="J146" s="22"/>
      <x:c r="K146" s="22"/>
      <x:c r="L146" s="24"/>
    </x:row>
    <x:row r="147" ht="88" customHeight="1">
      <x:c r="A147" s="19" t="str">
        <x:v>Scenario 140</x:v>
      </x:c>
      <x:c r="B147" s="19" t="str">
        <x:v>Mobile and accessibility</x:v>
      </x:c>
      <x:c r="C147" s="19" t="str">
        <x:v>Slow connection and repeat taps</x:v>
      </x:c>
      <x:c r="D147" s="19" t="str">
        <x:v>High</x:v>
      </x:c>
      <x:c r="E147" s="19" t="str">
        <x:v>Staging; phone or throttled connection</x:v>
      </x:c>
      <x:c r="F147" s="19" t="str">
        <x:v>1. Load a product slowly.
2. Tap Add to cart once, then navigate to checkout.
3. During slow submission avoid extra payment approvals and inspect feedback.</x:v>
      </x:c>
      <x:c r="G147" s="19" t="str">
        <x:v>Loading/submitting state is clear. One intentional action adds the expected quantity; no accidental repeated order or payment.</x:v>
      </x:c>
      <x:c r="H147" s="22"/>
      <x:c r="I147" s="22" t="str">
        <x:v>Not run</x:v>
      </x:c>
      <x:c r="J147" s="22"/>
      <x:c r="K147" s="22"/>
      <x:c r="L147" s="24"/>
    </x:row>
  </x:sheetData>
  <x:conditionalFormatting sqref="I8:I147">
    <x:cfRule type="expression" dxfId="0" priority="1">
      <x:formula>I8="Fail"</x:formula>
    </x:cfRule>
    <x:cfRule type="expression" dxfId="1" priority="2">
      <x:formula>I8="Blocked"</x:formula>
    </x:cfRule>
    <x:cfRule type="expression" dxfId="2" priority="3">
      <x:formula>I8="Pass"</x:formula>
    </x:cfRule>
    <x:cfRule type="expression" dxfId="3" priority="4">
      <x:formula>I8="N/A"</x:formula>
    </x:cfRule>
  </x:conditionalFormatting>
  <x:dataValidations count="1">
    <x:dataValidation type="list" sqref="I8:I147">
      <x:formula1>"Not run,Pass,Fail,Blocked,N/A"</x:formula1>
    </x:dataValidation>
  </x:dataValidations>
  <x:pageMargins left="0.7" right="0.7" top="0.75" bottom="0.75" header="0.3" footer="0.3"/>
  <x:tableParts count="1">
    <x:tablePart xmlns:r="http://schemas.openxmlformats.org/officeDocument/2006/relationships" r:id="R422cf885bf9641be"/>
  </x:tableParts>
</x:worksheet>
</file>

<file path=xl/worksheets/sheet2.xml><?xml version="1.0" encoding="utf-8"?>
<x:worksheet xmlns:x="http://schemas.openxmlformats.org/spreadsheetml/2006/main">
  <x:sheetPr>
    <x:tabColor rgb="FF7D858E"/>
  </x:sheetPr>
  <x:sheetViews>
    <x:sheetView showGridLines="0" workbookViewId="0">
      <x:pane ySplit="2" topLeftCell="A3" activePane="bottomLeft" state="frozen"/>
    </x:sheetView>
  </x:sheetViews>
  <x:sheetFormatPr defaultRowHeight="15"/>
  <x:cols>
    <x:col min="1" max="1" width="34" hidden="0" customWidth="1"/>
    <x:col min="2" max="2" width="118" hidden="0" customWidth="1"/>
  </x:cols>
  <x:sheetData>
    <x:row r="1" ht="12" customHeight="1">
      <x:c r="A1" s="1"/>
      <x:c r="B1" s="1"/>
    </x:row>
    <x:row r="2" ht="32" customHeight="1">
      <x:c r="A2" s="25" t="str">
        <x:v>KAPTAN test guide</x:v>
      </x:c>
      <x:c r="B2" s="25" t="str">
        <x:v>Customer acceptance checklist</x:v>
      </x:c>
    </x:row>
    <x:row r="3" ht="59" customHeight="1">
      <x:c r="A3" s="26" t="str">
        <x:v>Scope</x:v>
      </x:c>
      <x:c r="B3" s="16" t="str">
        <x:v>Covers the customer-facing features found in project revision 9299a4c. Expected results are acceptance criteria, not claims that the deployed store already passes. Admin editing, penetration testing and backend load testing are outside this customer checklist.</x:v>
      </x:c>
    </x:row>
    <x:row r="4" ht="32" customHeight="1">
      <x:c r="A4" s="26" t="str">
        <x:v>Store URL</x:v>
      </x:c>
      <x:c r="B4" s="22"/>
    </x:row>
    <x:row r="5" ht="32" customHeight="1">
      <x:c r="A5" s="26" t="str">
        <x:v>Deployment / commit tested</x:v>
      </x:c>
      <x:c r="B5" s="22"/>
    </x:row>
    <x:row r="6" ht="32" customHeight="1">
      <x:c r="A6" s="26" t="str">
        <x:v>Tester</x:v>
      </x:c>
      <x:c r="B6" s="22"/>
    </x:row>
    <x:row r="7" ht="32" customHeight="1">
      <x:c r="A7" s="26" t="str">
        <x:v>Test run date</x:v>
      </x:c>
      <x:c r="B7" s="24"/>
    </x:row>
    <x:row r="8" ht="32" customHeight="1">
      <x:c r="A8" s="26" t="str">
        <x:v>Device / browser versions</x:v>
      </x:c>
      <x:c r="B8" s="22"/>
    </x:row>
    <x:row r="9" ht="59" customHeight="1">
      <x:c r="A9" s="26" t="str">
        <x:v>How to record results</x:v>
      </x:c>
      <x:c r="B9" s="16" t="str">
        <x:v>Use one workbook copy per device/browser run, or record each run explicitly in Actual result. Set Status only after testing. Record what happened, exact error text, URL, time and order number where relevant. Add a screenshot filename/link in Evidence. Do not store passwords, real card data or API keys here.</x:v>
      </x:c>
    </x:row>
    <x:row r="10" ht="59" customHeight="1">
      <x:c r="A10" s="27" t="str">
        <x:v>Recommended order</x:v>
      </x:c>
      <x:c r="B10" s="19" t="str">
        <x:v>Complete Navigation → Search → Product → Cart → Account → Profile → Checkout → Payments → Orders → Support → Display → Mobile. Filter Priority to Critical first for a shorter checkout-focused pass, then complete every applicable row.</x:v>
      </x:c>
    </x:row>
    <x:row r="11" ht="59" customHeight="1">
      <x:c r="A11" s="26" t="str">
        <x:v>Status definitions</x:v>
      </x:c>
      <x:c r="B11" s="16" t="str">
        <x:v>Not run = untouched. Pass = all expected results observed. Fail = behavior differs. Blocked = missing setup or another defect prevents testing. N/A = feature genuinely not offered or condition does not apply; write why. Missing required payment setup is Blocked, not N/A.</x:v>
      </x:c>
    </x:row>
    <x:row r="12" ht="59" customHeight="1">
      <x:c r="A12" s="27" t="str">
        <x:v>Result fields</x:v>
      </x:c>
      <x:c r="B12" s="19" t="str">
        <x:v>Actual result, Status, Evidence, Device/browser and Test date are editable amber cells. Actual results and dates are intentionally blank; no tests have been executed by this workbook. Summary counts update from Status. Table header filters help find failures and blocked tests.</x:v>
      </x:c>
    </x:row>
    <x:row r="13" ht="59" customHeight="1">
      <x:c r="A13" s="26" t="str">
        <x:v>Before payment tests</x:v>
      </x:c>
      <x:c r="B13" s="16" t="str">
        <x:v>Owner must provide a working staging URL, apply required migrations and confirm Stripe test mode / PayPal sandbox, webhook setup and mail configuration. Use test accounts/products only for purchases, reviews and messages. Do not use test cards in production or make real payments to run this checklist.</x:v>
      </x:c>
    </x:row>
    <x:row r="14" ht="59" customHeight="1">
      <x:c r="A14" s="27" t="str">
        <x:v>Completion decision</x:v>
      </x:c>
      <x:c r="B14" s="19" t="str">
        <x:v>Review all Critical and High failures/blocked cases before release. Every applicable scenario should have a result; explain every N/A. A customer pass does not prove backend security, stock concurrency, mail delivery or payment settlement without the owner-assisted checks identified below.</x:v>
      </x:c>
    </x:row>
    <x:row r="15" ht="59" customHeight="1">
      <x:c r="A15" s="26" t="str">
        <x:v>Owner-assisted scenarios</x:v>
      </x:c>
      <x:c r="B15" s="16" t="str">
        <x:v>Stock/price changes, last-unit race, delayed confirmation, expired sessions, shipping restrictions, delivery progress and refunds need owner help in staging. As the shopper, perform only the stated customer steps; ask the owner to supply the setup and confirm backend/provider outcomes.</x:v>
      </x:c>
    </x:row>
    <x:row r="16" ht="44" customHeight="1">
      <x:c r="A16" s="27" t="str">
        <x:v>Test data to prepare</x:v>
      </x:c>
      <x:c r="B16" s="19" t="str">
        <x:v>Fill the values below with actual staging products and accounts. If the required fixture is unavailable, mark the related scenario Blocked until prepared (or N/A only when that feature is intentionally absent).</x:v>
      </x:c>
    </x:row>
    <x:row r="17" ht="32" customHeight="1">
      <x:c r="A17" s="26" t="str">
        <x:v>Account A email</x:v>
      </x:c>
      <x:c r="B17" s="22"/>
    </x:row>
    <x:row r="18" ht="32" customHeight="1">
      <x:c r="A18" s="26" t="str">
        <x:v>Account B email</x:v>
      </x:c>
      <x:c r="B18" s="22"/>
    </x:row>
    <x:row r="19" ht="32" customHeight="1">
      <x:c r="A19" s="26" t="str">
        <x:v>P1 simple product URL</x:v>
      </x:c>
      <x:c r="B19" s="22"/>
    </x:row>
    <x:row r="20" ht="32" customHeight="1">
      <x:c r="A20" s="26" t="str">
        <x:v>P2 variant product URL</x:v>
      </x:c>
      <x:c r="B20" s="22"/>
    </x:row>
    <x:row r="21" ht="32" customHeight="1">
      <x:c r="A21" s="26" t="str">
        <x:v>P3 zero-stock product URL</x:v>
      </x:c>
      <x:c r="B21" s="22"/>
    </x:row>
    <x:row r="22" ht="32" customHeight="1">
      <x:c r="A22" s="26" t="str">
        <x:v>Low-stock fixture URL</x:v>
      </x:c>
      <x:c r="B22" s="22"/>
    </x:row>
    <x:row r="23" ht="32" customHeight="1">
      <x:c r="A23" s="26" t="str">
        <x:v>€49.99 / €50 / €50.01 baskets</x:v>
      </x:c>
      <x:c r="B23" s="22"/>
    </x:row>
    <x:row r="24" ht="32" customHeight="1">
      <x:c r="A24" s="26" t="str">
        <x:v>More than 24 products</x:v>
      </x:c>
      <x:c r="B24" s="22"/>
    </x:row>
    <x:row r="25" ht="32" customHeight="1">
      <x:c r="A25" s="26" t="str">
        <x:v>Allowed / blocked country</x:v>
      </x:c>
      <x:c r="B25" s="22"/>
    </x:row>
    <x:row r="26" ht="32" customHeight="1">
      <x:c r="A26" s="26" t="str">
        <x:v>Published content fixtures</x:v>
      </x:c>
      <x:c r="B26" s="22"/>
    </x:row>
    <x:row r="27" ht="44" customHeight="1">
      <x:c r="A27" s="26" t="str">
        <x:v>Account setup</x:v>
      </x:c>
      <x:c r="B27" s="16" t="str">
        <x:v>A and B must be separate customer accounts with accessible test inboxes. A needs a paid sandbox order for order-history and verified-review tests; B starts with no orders. Do not put credentials in this workbook.</x:v>
      </x:c>
    </x:row>
    <x:row r="28" ht="59" customHeight="1">
      <x:c r="A28" s="27" t="str">
        <x:v>Product setup</x:v>
      </x:c>
      <x:c r="B28" s="19" t="str">
        <x:v>P1 is a simple available item. P2 needs two available options with different prices and one unavailable option, with known stock limits. P3 has stock zero. Low-stock fixture has one unit. Prepare sale-price, gallery/video, bundle and no-review products if those features are offered.</x:v>
      </x:c>
    </x:row>
    <x:row r="29" ht="59" customHeight="1">
      <x:c r="A29" s="26" t="str">
        <x:v>Shipping baseline</x:v>
      </x:c>
      <x:c r="B29" s="16" t="str">
        <x:v>Current source uses €5.99 shipping when subtotal is €50 or below; free shipping is strictly above €50. Owner must confirm the deployed business rule and supported countries. If the rule changes, update the three boundary scenarios before running them.</x:v>
      </x:c>
    </x:row>
    <x:row r="30" ht="44" customHeight="1">
      <x:c r="A30" s="27" t="str">
        <x:v>Charge currency</x:v>
      </x:c>
      <x:c r="B30" s="19" t="str">
        <x:v>EUR is the charge currency. Other currencies are display conversions. Confirm EUR subtotal + shipping against the payment page and receipt, even if the header displays USD/GBP or another currency.</x:v>
      </x:c>
    </x:row>
    <x:row r="31" ht="44" customHeight="1">
      <x:c r="A31" s="26" t="str">
        <x:v>Stripe successful card</x:v>
      </x:c>
      <x:c r="B31" s="16" t="str">
        <x:v>Sandbox only: 4242 4242 4242 4242. Use a valid future expiry and any 3-digit CVC. Confirm test mode with the owner before entering it.</x:v>
      </x:c>
    </x:row>
    <x:row r="32" ht="44" customHeight="1">
      <x:c r="A32" s="27" t="str">
        <x:v>Stripe declines / authentication</x:v>
      </x:c>
      <x:c r="B32" s="19" t="str">
        <x:v>Use the current decline and 3D Secure card examples from https://docs.stripe.com/testing. Ask the owner for the intended simulation card; do not substitute real card details.</x:v>
      </x:c>
    </x:row>
    <x:row r="33" ht="44" customHeight="1">
      <x:c r="A33" s="26" t="str">
        <x:v>PayPal sandbox buyer</x:v>
      </x:c>
      <x:c r="B33" s="16" t="str">
        <x:v>Owner supplies a Personal sandbox buyer account distinct from the merchant account. Use that buyer on the PayPal sandbox flow. Credentials belong in a password manager, not this workbook.</x:v>
      </x:c>
    </x:row>
    <x:row r="34" ht="44" customHeight="1">
      <x:c r="A34" s="27" t="str">
        <x:v>Messages and reviews</x:v>
      </x:c>
      <x:c r="B34" s="19" t="str">
        <x:v>Prefix test messages/reviews with TEST and arrange cleanup with the owner. Customer UI success should be checked against owner-confirmed receipt for contact submissions and configured email notifications.</x:v>
      </x:c>
    </x:row>
    <x:row r="35" ht="59" customHeight="1">
      <x:c r="A35" s="26" t="str">
        <x:v>Conditional features</x:v>
      </x:c>
      <x:c r="B35" s="16" t="str">
        <x:v>Video, bundles, pagination, Google login, express wallets, configured receipt emails and social links depend on data/device/configuration. Coupon codes, subscriptions, gift-card redemption and self-service cancellation/refund screens were not found in the customer routes and are not assumed to exist.</x:v>
      </x:c>
    </x:row>
    <x:row r="36" ht="59" customHeight="1">
      <x:c r="A36" s="27" t="str">
        <x:v>Device coverage</x:v>
      </x:c>
      <x:c r="B36" s="19" t="str">
        <x:v>Recommended: Chrome on desktop, Safari on iPhone, Chrome on Android, plus Firefox or Edge on desktop. Use portrait and landscape, light/dark themes, EN/DE, keyboard-only and 200% zoom checks. Run the full applicable suite in your primary browser and repeat critical purchase journeys on other target browsers.</x:v>
      </x:c>
    </x:row>
    <x:row r="37" ht="59" customHeight="1">
      <x:c r="A37" s="26" t="str">
        <x:v>Sources and baseline</x:v>
      </x:c>
      <x:c r="B37" s="16" t="str">
        <x:v>Project source at revision 9299a4c: src/routes/ (public and _authenticated customer routes), src/components/cart/, src/components/layout/, src/lib/payments.functions.ts, orders.functions.ts, products.functions.ts, reviews.functions.ts, profile.functions.ts, newsletter.functions.ts and currency.ts. Prepared 7 October 2026.</x:v>
      </x:c>
    </x:row>
    <x:row r="38" ht="32" customHeight="1">
      <x:c r="A38" s="27" t="str">
        <x:v>Stripe source</x:v>
      </x:c>
      <x:c r="B38" s="19" t="str">
        <x:v>https://docs.stripe.com/testing — official sandbox card guidance, consulted 7 October 2026.</x:v>
      </x:c>
    </x:row>
    <x:row r="39" ht="44" customHeight="1">
      <x:c r="A39" s="26" t="str">
        <x:v>PayPal source</x:v>
      </x:c>
      <x:c r="B39" s="16" t="str">
        <x:v>https://developer.paypal.com/sandbox-testing/accounts — official sandbox account guidance, consulted 7 October 2026.</x:v>
      </x:c>
    </x:row>
  </x:sheetData>
  <x:pageMargins left="0.7" right="0.7" top="0.75" bottom="0.75" header="0.3" footer="0.3"/>
</x:worksheet>
</file>